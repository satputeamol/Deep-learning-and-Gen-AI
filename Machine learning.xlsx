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cal encoding" sheetId="1" r:id="rId5"/>
    <sheet state="visible" name="timeseries" sheetId="2" r:id="rId6"/>
    <sheet state="visible" name="Hypothesis testing" sheetId="3" r:id="rId7"/>
    <sheet state="visible" name="Deep Learning" sheetId="4" r:id="rId8"/>
    <sheet state="visible" name="RNN-LSTM-Transformer" sheetId="5" r:id="rId9"/>
    <sheet state="visible" name="Transformer" sheetId="6" r:id="rId10"/>
    <sheet state="visible" name="Unsuperwised Machine Learning" sheetId="7" r:id="rId11"/>
    <sheet state="visible" name="DataBase" sheetId="8" r:id="rId12"/>
    <sheet state="visible" name="NLP" sheetId="9" r:id="rId13"/>
    <sheet state="visible" name="Dimensionality reduction" sheetId="10" r:id="rId14"/>
    <sheet state="visible" name="Model Building process" sheetId="11" r:id="rId15"/>
    <sheet state="visible" name="Model Building process1" sheetId="12" r:id="rId16"/>
    <sheet state="visible" name="Model Building process2" sheetId="13" r:id="rId17"/>
    <sheet state="visible" name="Model Building process3" sheetId="14" r:id="rId18"/>
    <sheet state="visible" name="Linear regression" sheetId="15" r:id="rId19"/>
    <sheet state="visible" name="Linear regrssion 1" sheetId="16" r:id="rId20"/>
    <sheet state="visible" name="Logistic regression " sheetId="17" r:id="rId21"/>
    <sheet state="visible" name="EDA" sheetId="18" r:id="rId22"/>
    <sheet state="visible" name="Feature Scaling" sheetId="19" r:id="rId23"/>
    <sheet state="visible" name="Projects " sheetId="20" r:id="rId24"/>
    <sheet state="visible" name="Mean sample and population" sheetId="21" r:id="rId25"/>
  </sheets>
  <definedNames>
    <definedName hidden="1" localSheetId="2" name="_xlnm._FilterDatabase">'Hypothesis testing'!$A$1:$G$14</definedName>
    <definedName hidden="1" localSheetId="6" name="_xlnm._FilterDatabase">'Unsuperwised Machine Learning'!$L$5:$R$15</definedName>
    <definedName hidden="1" localSheetId="13" name="_xlnm._FilterDatabase">'Model Building process3'!$P$16:$P$26</definedName>
    <definedName hidden="1" localSheetId="6" name="Z_B86EF3D3_83A8_4D10_A14C_DB612A9A1FD5_.wvu.FilterData">'Unsuperwised Machine Learning'!$K$5:$S$15</definedName>
    <definedName hidden="1" localSheetId="6" name="Z_F8B1260B_7993_4020_B800_90DB191211AB_.wvu.FilterData">'Unsuperwised Machine Learning'!$L$5:$R$15</definedName>
  </definedNames>
  <calcPr/>
  <customWorkbookViews>
    <customWorkbookView activeSheetId="0" maximized="1" windowHeight="0" windowWidth="0" guid="{B86EF3D3-83A8-4D10-A14C-DB612A9A1FD5}" name="Filter 2"/>
    <customWorkbookView activeSheetId="0" maximized="1" windowHeight="0" windowWidth="0" guid="{F8B1260B-7993-4020-B800-90DB191211AB}" name="Filter 1"/>
  </customWorkbookViews>
</workbook>
</file>

<file path=xl/sharedStrings.xml><?xml version="1.0" encoding="utf-8"?>
<sst xmlns="http://schemas.openxmlformats.org/spreadsheetml/2006/main" count="1099" uniqueCount="761">
  <si>
    <t>Location</t>
  </si>
  <si>
    <t>Location_pune</t>
  </si>
  <si>
    <t>Location_Mumbai</t>
  </si>
  <si>
    <t>Location_Banglore</t>
  </si>
  <si>
    <t>total # bits = # cateogires - 1</t>
  </si>
  <si>
    <t>Pune</t>
  </si>
  <si>
    <t>Mumbai</t>
  </si>
  <si>
    <t>Banglore</t>
  </si>
  <si>
    <t>1. One hot encoding</t>
  </si>
  <si>
    <t>2. Label encoding</t>
  </si>
  <si>
    <t>Location_label_encoding</t>
  </si>
  <si>
    <t>f1</t>
  </si>
  <si>
    <t>f2</t>
  </si>
  <si>
    <t>a</t>
  </si>
  <si>
    <t>T</t>
  </si>
  <si>
    <t>F</t>
  </si>
  <si>
    <t>n</t>
  </si>
  <si>
    <t>t</t>
  </si>
  <si>
    <t>data</t>
  </si>
  <si>
    <t>Assumptions : 2 previous data points are used to predict the next data point</t>
  </si>
  <si>
    <t>without overlap</t>
  </si>
  <si>
    <t>With overlap of 1 time stamp</t>
  </si>
  <si>
    <t xml:space="preserve">Gender </t>
  </si>
  <si>
    <t>Height (cm)</t>
  </si>
  <si>
    <t>Weight (Kg)</t>
  </si>
  <si>
    <t>Age_group</t>
  </si>
  <si>
    <t>Y</t>
  </si>
  <si>
    <t xml:space="preserve">One categorical variable (Gender) </t>
  </si>
  <si>
    <t>Hypothesis testing</t>
  </si>
  <si>
    <t>M</t>
  </si>
  <si>
    <t>child</t>
  </si>
  <si>
    <t>Null Hypothesis (H0)</t>
  </si>
  <si>
    <t>There is no difference</t>
  </si>
  <si>
    <t>1. Claim from the domain or business</t>
  </si>
  <si>
    <t>Alternate Hypothesis (H1)</t>
  </si>
  <si>
    <t>There is a difference in male and female proportion</t>
  </si>
  <si>
    <t>2.Hypothesis 
Null Hypothesis (H0) : There is no difference
Alternate Hypothesis (H1) : There is a difference</t>
  </si>
  <si>
    <t>teen</t>
  </si>
  <si>
    <t>Test</t>
  </si>
  <si>
    <t>One sample proportion test</t>
  </si>
  <si>
    <t>3. To prove our hypothesis, collect evidences</t>
  </si>
  <si>
    <t>x1</t>
  </si>
  <si>
    <t>x2 cat</t>
  </si>
  <si>
    <t>x3</t>
  </si>
  <si>
    <t>x4</t>
  </si>
  <si>
    <t>y cat</t>
  </si>
  <si>
    <t xml:space="preserve">P - Value </t>
  </si>
  <si>
    <t>&lt;= 0.05 (Level of significance, alpha)</t>
  </si>
  <si>
    <t>4. Check if evidences proves there is a significant difference</t>
  </si>
  <si>
    <t xml:space="preserve">End result </t>
  </si>
  <si>
    <t>Reject Null Hypothesis if P &lt;= 0.05</t>
  </si>
  <si>
    <t>Adult</t>
  </si>
  <si>
    <t>1. Proportion test</t>
  </si>
  <si>
    <t xml:space="preserve">Two categorical variable (Gender and Age_group) </t>
  </si>
  <si>
    <t>2. t - test</t>
  </si>
  <si>
    <t>3. Chi-square test</t>
  </si>
  <si>
    <t>There is a difference in male female proportion based on age group</t>
  </si>
  <si>
    <t>4. Correlation</t>
  </si>
  <si>
    <t>Chi-squre test</t>
  </si>
  <si>
    <t>5. ANOVA (Analysis of variance)</t>
  </si>
  <si>
    <t>Gender / Agegroup</t>
  </si>
  <si>
    <t>Child</t>
  </si>
  <si>
    <t xml:space="preserve">teen </t>
  </si>
  <si>
    <t>adult</t>
  </si>
  <si>
    <t>M = 7</t>
  </si>
  <si>
    <t>7:3</t>
  </si>
  <si>
    <t>F = 3</t>
  </si>
  <si>
    <t xml:space="preserve">One Quantitative variable (Height) </t>
  </si>
  <si>
    <t>Member</t>
  </si>
  <si>
    <t>weight_before_joining_gym</t>
  </si>
  <si>
    <t>weight_after_joining_gym</t>
  </si>
  <si>
    <t>diff</t>
  </si>
  <si>
    <t>Person 1</t>
  </si>
  <si>
    <t>There is a difference between mean of sample and mean of population</t>
  </si>
  <si>
    <t>Person 2</t>
  </si>
  <si>
    <t>t - test</t>
  </si>
  <si>
    <t>Person 3</t>
  </si>
  <si>
    <t>Person 4</t>
  </si>
  <si>
    <t>Person 5</t>
  </si>
  <si>
    <t>Person 6</t>
  </si>
  <si>
    <t xml:space="preserve">Two Quantitative variable (Height &amp; Weight)  </t>
  </si>
  <si>
    <t>Person 7</t>
  </si>
  <si>
    <t>There is no relation</t>
  </si>
  <si>
    <t>There is a relation</t>
  </si>
  <si>
    <t>Correlation test</t>
  </si>
  <si>
    <t>Gamma</t>
  </si>
  <si>
    <t xml:space="preserve">-1 to 1 </t>
  </si>
  <si>
    <t>-1 : Strong negative correlation
0 : No correlation
1 : Strong positive correlation</t>
  </si>
  <si>
    <r>
      <rPr>
        <rFont val="Arial"/>
        <color theme="1"/>
      </rPr>
      <t xml:space="preserve">One categorical variable  with </t>
    </r>
    <r>
      <rPr>
        <rFont val="Arial"/>
        <b/>
        <color theme="1"/>
      </rPr>
      <t>two categories</t>
    </r>
    <r>
      <rPr>
        <rFont val="Arial"/>
        <color theme="1"/>
      </rPr>
      <t xml:space="preserve"> (Gender)  and one Quantitative variable (Height)  </t>
    </r>
  </si>
  <si>
    <t>mean(male_height) = mean (female_height)</t>
  </si>
  <si>
    <t>mean(male_height) != mean (female_height)</t>
  </si>
  <si>
    <t>t - test (2 independent samples) test of independence</t>
  </si>
  <si>
    <r>
      <rPr>
        <rFont val="Arial"/>
        <color theme="1"/>
      </rPr>
      <t xml:space="preserve">One categorical variable  with two categories </t>
    </r>
    <r>
      <rPr>
        <rFont val="Arial"/>
        <b/>
        <color theme="1"/>
      </rPr>
      <t>(before, after )</t>
    </r>
    <r>
      <rPr>
        <rFont val="Arial"/>
        <color theme="1"/>
      </rPr>
      <t xml:space="preserve">  and one Quantitative variable (weight)  </t>
    </r>
  </si>
  <si>
    <t>mean(diff)=0</t>
  </si>
  <si>
    <t>mean(diff) != 0</t>
  </si>
  <si>
    <t xml:space="preserve">paired t - test (2 dependent samples) </t>
  </si>
  <si>
    <r>
      <rPr>
        <rFont val="Arial"/>
        <color theme="1"/>
      </rPr>
      <t>One categorical variable  with</t>
    </r>
    <r>
      <rPr>
        <rFont val="Arial"/>
        <b/>
        <color theme="1"/>
      </rPr>
      <t xml:space="preserve"> more than two categories</t>
    </r>
    <r>
      <rPr>
        <rFont val="Arial"/>
        <color theme="1"/>
      </rPr>
      <t xml:space="preserve"> (Age_group)  and one Quantitative variable (Height)  </t>
    </r>
  </si>
  <si>
    <t>mean(child_height) = mean (teen_height) = mean(adult_height)</t>
  </si>
  <si>
    <t>At least one mean is different (At least one pair of samples is significantly different)</t>
  </si>
  <si>
    <t>ANOVA test  (Analysis of variance , test of independence)</t>
  </si>
  <si>
    <t>F - Statistic</t>
  </si>
  <si>
    <t>&gt; 1 (desirable)</t>
  </si>
  <si>
    <t>samples are independent if F- statistic  &gt; 1</t>
  </si>
  <si>
    <t>(R,G,B)</t>
  </si>
  <si>
    <t>(255,0,0)</t>
  </si>
  <si>
    <t>(255,255,255)</t>
  </si>
  <si>
    <t>(0,0,0)</t>
  </si>
  <si>
    <t>(0,255,0)</t>
  </si>
  <si>
    <t>(0,0,255)</t>
  </si>
  <si>
    <t>(195,133,0)</t>
  </si>
  <si>
    <t>X</t>
  </si>
  <si>
    <t>Feature = [1,1,1,1,1,1,1,1]</t>
  </si>
  <si>
    <t>x(n)</t>
  </si>
  <si>
    <t>System h(n)</t>
  </si>
  <si>
    <t>y(n)</t>
  </si>
  <si>
    <t>y(n) = x(n)*h(n)</t>
  </si>
  <si>
    <t xml:space="preserve">Convolution layer </t>
  </si>
  <si>
    <t>Normalization layer (ReLU activation function)</t>
  </si>
  <si>
    <t>Pooling layer (2X2  max pooling)</t>
  </si>
  <si>
    <t>flattened layer</t>
  </si>
  <si>
    <t xml:space="preserve">This is the one feature extractd from the image </t>
  </si>
  <si>
    <t>6X4</t>
  </si>
  <si>
    <t>3X2</t>
  </si>
  <si>
    <t>28x28</t>
  </si>
  <si>
    <t>Pooling layer (2X2  Avg pooling)</t>
  </si>
  <si>
    <t>CNN</t>
  </si>
  <si>
    <t>Convolution</t>
  </si>
  <si>
    <t>Standardization</t>
  </si>
  <si>
    <t>ReLU</t>
  </si>
  <si>
    <t>Polling</t>
  </si>
  <si>
    <t>max pooling, avg pooling</t>
  </si>
  <si>
    <t>2x2</t>
  </si>
  <si>
    <t>flattening</t>
  </si>
  <si>
    <t>y1 = a1x1 + a2x2 + a3x3 + c</t>
  </si>
  <si>
    <t>Perceptron</t>
  </si>
  <si>
    <t>y = f(a1x1 + a2x2 + a3x3 + c)</t>
  </si>
  <si>
    <t>f : activation function</t>
  </si>
  <si>
    <t>Sigmoid</t>
  </si>
  <si>
    <t>Leaky ReLU</t>
  </si>
  <si>
    <t>Softmax</t>
  </si>
  <si>
    <t>tanh</t>
  </si>
  <si>
    <t xml:space="preserve">RNN </t>
  </si>
  <si>
    <t>Ravi likes idli sambhar, that means he is fond of indian cuisine. Ashok likes pasta and noodles, so he is fond of italian food</t>
  </si>
  <si>
    <t>hidden state</t>
  </si>
  <si>
    <t>Ravi, likes</t>
  </si>
  <si>
    <t>idli,sambhar</t>
  </si>
  <si>
    <t xml:space="preserve">that, means </t>
  </si>
  <si>
    <t>fond ,of</t>
  </si>
  <si>
    <t>? which cuisine</t>
  </si>
  <si>
    <t xml:space="preserve"> t = 0</t>
  </si>
  <si>
    <t>t = 1</t>
  </si>
  <si>
    <t>t = 2</t>
  </si>
  <si>
    <t>t = 3</t>
  </si>
  <si>
    <t>t = 4</t>
  </si>
  <si>
    <t>LSTM</t>
  </si>
  <si>
    <t>Long short term memory</t>
  </si>
  <si>
    <t>cell state</t>
  </si>
  <si>
    <t>Indian cuisine</t>
  </si>
  <si>
    <t>pasta, noodles</t>
  </si>
  <si>
    <t>italian cuisine</t>
  </si>
  <si>
    <t>Ashok, likes</t>
  </si>
  <si>
    <t>he, is</t>
  </si>
  <si>
    <t>Forget Gate</t>
  </si>
  <si>
    <t xml:space="preserve">Input Gate </t>
  </si>
  <si>
    <t>Output Gate</t>
  </si>
  <si>
    <t>GRU</t>
  </si>
  <si>
    <t>Gated Recurrent Unit</t>
  </si>
  <si>
    <t xml:space="preserve">Reset Gate </t>
  </si>
  <si>
    <t>Update Gate</t>
  </si>
  <si>
    <t>y(t) = y(t-1) + x(t)</t>
  </si>
  <si>
    <t>y(t-1) = y(t-2) + x(t-1)</t>
  </si>
  <si>
    <t>t = 0</t>
  </si>
  <si>
    <t>y(0) = y(-1) + x(t)</t>
  </si>
  <si>
    <t>Transformer</t>
  </si>
  <si>
    <t>Ram eats pizza</t>
  </si>
  <si>
    <t>Pizza eats Ram</t>
  </si>
  <si>
    <t>Attention</t>
  </si>
  <si>
    <t xml:space="preserve">query </t>
  </si>
  <si>
    <t>machine learning Syllabus</t>
  </si>
  <si>
    <t>Kyes</t>
  </si>
  <si>
    <t>K1 = "Artificial Intelligence"
K2 = "Machine Learning"
K3 = "Linear Algebra"
K4 = "Statistics"
K5 = "Deep Learning"</t>
  </si>
  <si>
    <t>Q.K_transpose</t>
  </si>
  <si>
    <t>K1 = "Artificial Intelligence"</t>
  </si>
  <si>
    <t>K2 = "Machine Learning"</t>
  </si>
  <si>
    <t>K3 = "Linear Algebra"</t>
  </si>
  <si>
    <t>K4 = "Statistics"</t>
  </si>
  <si>
    <t>K5 = "Deep Learning"</t>
  </si>
  <si>
    <t>Probabilities</t>
  </si>
  <si>
    <t>Values</t>
  </si>
  <si>
    <t>Concept</t>
  </si>
  <si>
    <t>Real World</t>
  </si>
  <si>
    <t>V1 = AI book content</t>
  </si>
  <si>
    <t>Query</t>
  </si>
  <si>
    <t>Student question</t>
  </si>
  <si>
    <t>Query vector</t>
  </si>
  <si>
    <t>V2 = ML book content</t>
  </si>
  <si>
    <t>Key</t>
  </si>
  <si>
    <t>Book titles</t>
  </si>
  <si>
    <t>Key vectors</t>
  </si>
  <si>
    <t>V3 = Linear Algebra content</t>
  </si>
  <si>
    <t>Value</t>
  </si>
  <si>
    <t>Book content</t>
  </si>
  <si>
    <t>Value vectors</t>
  </si>
  <si>
    <t>V4 = Statistics content</t>
  </si>
  <si>
    <t>Matching</t>
  </si>
  <si>
    <t>Relevance</t>
  </si>
  <si>
    <t>Dot product</t>
  </si>
  <si>
    <t>V5 = DL content</t>
  </si>
  <si>
    <t>Final output</t>
  </si>
  <si>
    <t>Combined knowledge</t>
  </si>
  <si>
    <t>Weighted sum</t>
  </si>
  <si>
    <t>Multi-head attention</t>
  </si>
  <si>
    <t xml:space="preserve">Head 1 </t>
  </si>
  <si>
    <t>Theory expert</t>
  </si>
  <si>
    <t>AI , ML</t>
  </si>
  <si>
    <t>attention_head1 = Attention (Q,K,V)</t>
  </si>
  <si>
    <t>Head 2</t>
  </si>
  <si>
    <t>maths Expert</t>
  </si>
  <si>
    <t>Linear algebra, stats</t>
  </si>
  <si>
    <t>attention_head2 = Attention (Q,K,V)</t>
  </si>
  <si>
    <t xml:space="preserve">Head 3 </t>
  </si>
  <si>
    <t>Practical expert</t>
  </si>
  <si>
    <t>deep learning, projects</t>
  </si>
  <si>
    <t>attention_head3 = Attention (Q,K,V)</t>
  </si>
  <si>
    <t>Head 4</t>
  </si>
  <si>
    <t>Beginner perspective</t>
  </si>
  <si>
    <t>Introduction</t>
  </si>
  <si>
    <t>attention_head4 = Attention (Q,K,V)</t>
  </si>
  <si>
    <t xml:space="preserve">Head 5 </t>
  </si>
  <si>
    <t>Advanced Perspective</t>
  </si>
  <si>
    <t>optimization</t>
  </si>
  <si>
    <t>attention_head5 = Attention (Q,K,V)</t>
  </si>
  <si>
    <t>Multihead_attention = concat(attention_head1,attention_head2,attention_head3,attention_head4,attention_head5) *W</t>
  </si>
  <si>
    <t xml:space="preserve">self attention </t>
  </si>
  <si>
    <t>Q,K,V works on same input</t>
  </si>
  <si>
    <t>Cross attention</t>
  </si>
  <si>
    <t xml:space="preserve">Input </t>
  </si>
  <si>
    <t>output</t>
  </si>
  <si>
    <t>How are you?</t>
  </si>
  <si>
    <t>तू कसा आहेस?</t>
  </si>
  <si>
    <t>I am fine.</t>
  </si>
  <si>
    <t>मी बरा आहे.</t>
  </si>
  <si>
    <t>What is your name?</t>
  </si>
  <si>
    <t>तुझं नाव काय आहे?</t>
  </si>
  <si>
    <t xml:space="preserve">तू </t>
  </si>
  <si>
    <t>crossed multi-head attention</t>
  </si>
  <si>
    <t>तू कसा</t>
  </si>
  <si>
    <t>BERT</t>
  </si>
  <si>
    <t>Bidirectional encoder from transformer</t>
  </si>
  <si>
    <t>Classification</t>
  </si>
  <si>
    <t>GPT</t>
  </si>
  <si>
    <t>Generative pretrained transformer</t>
  </si>
  <si>
    <t>Next word prection</t>
  </si>
  <si>
    <t xml:space="preserve">Supervised Machine Learning </t>
  </si>
  <si>
    <t>Unsupervised Machine learning</t>
  </si>
  <si>
    <t>Market basket analysis</t>
  </si>
  <si>
    <t>x2</t>
  </si>
  <si>
    <t>y</t>
  </si>
  <si>
    <t>Association</t>
  </si>
  <si>
    <t>Most frequently occuring features</t>
  </si>
  <si>
    <t>Adv(TV)</t>
  </si>
  <si>
    <t>Adv (newspaper)</t>
  </si>
  <si>
    <t>Sales</t>
  </si>
  <si>
    <t>x1 (shape)</t>
  </si>
  <si>
    <t>x2(color)</t>
  </si>
  <si>
    <t>obj1</t>
  </si>
  <si>
    <t>oval</t>
  </si>
  <si>
    <t>blue</t>
  </si>
  <si>
    <t>Cluster_1</t>
  </si>
  <si>
    <t>obj2</t>
  </si>
  <si>
    <t>red</t>
  </si>
  <si>
    <t>Bread</t>
  </si>
  <si>
    <t>Butter</t>
  </si>
  <si>
    <t>cheese</t>
  </si>
  <si>
    <t>milk</t>
  </si>
  <si>
    <t>Egg</t>
  </si>
  <si>
    <t>potato</t>
  </si>
  <si>
    <t>Oninon</t>
  </si>
  <si>
    <t>obj3</t>
  </si>
  <si>
    <t>person1</t>
  </si>
  <si>
    <t>Basket1</t>
  </si>
  <si>
    <t>Sparse Matrix</t>
  </si>
  <si>
    <t>obj4</t>
  </si>
  <si>
    <t>person2</t>
  </si>
  <si>
    <t>Basket2</t>
  </si>
  <si>
    <t>x1 (Description)</t>
  </si>
  <si>
    <t>x2 (Subect)</t>
  </si>
  <si>
    <t>obj5</t>
  </si>
  <si>
    <t>person3</t>
  </si>
  <si>
    <t>Basket3</t>
  </si>
  <si>
    <t xml:space="preserve">ag erhgdf </t>
  </si>
  <si>
    <t>bfgn rthgt</t>
  </si>
  <si>
    <t xml:space="preserve">Blocked </t>
  </si>
  <si>
    <t>obj6</t>
  </si>
  <si>
    <t>person4</t>
  </si>
  <si>
    <t>Basket4</t>
  </si>
  <si>
    <t>ag erhgdf 1</t>
  </si>
  <si>
    <t>bfgn rthgt 1</t>
  </si>
  <si>
    <t>Unbocked</t>
  </si>
  <si>
    <t>obj7</t>
  </si>
  <si>
    <t>Square</t>
  </si>
  <si>
    <t>Cluster_2</t>
  </si>
  <si>
    <t>person5</t>
  </si>
  <si>
    <t>Basket5</t>
  </si>
  <si>
    <t>ag erhgdf 2</t>
  </si>
  <si>
    <t>bfgn rthgt 2</t>
  </si>
  <si>
    <t>Credit limit</t>
  </si>
  <si>
    <t>obj8</t>
  </si>
  <si>
    <t>person6</t>
  </si>
  <si>
    <t>Basket6</t>
  </si>
  <si>
    <t>obj9</t>
  </si>
  <si>
    <t>person7</t>
  </si>
  <si>
    <t>Basket7</t>
  </si>
  <si>
    <t>obj10</t>
  </si>
  <si>
    <t>person8</t>
  </si>
  <si>
    <t>Basket8</t>
  </si>
  <si>
    <t>?</t>
  </si>
  <si>
    <t>person9</t>
  </si>
  <si>
    <t>Basket9</t>
  </si>
  <si>
    <t>person10</t>
  </si>
  <si>
    <t>Basket10</t>
  </si>
  <si>
    <t>sales = 0.8 x1 + 0.2 x2</t>
  </si>
  <si>
    <t>Support :</t>
  </si>
  <si>
    <t>in overall transaction what is the percentage of combo purchase</t>
  </si>
  <si>
    <t>Interpretability is highly business dependent</t>
  </si>
  <si>
    <t>Clustering</t>
  </si>
  <si>
    <t>Grouping similar objects or records</t>
  </si>
  <si>
    <t>1. Objects in one cluster should be same</t>
  </si>
  <si>
    <t>Bread + Butter</t>
  </si>
  <si>
    <t>min Support level = 50 %</t>
  </si>
  <si>
    <t>2. Objects of two clusters must be different</t>
  </si>
  <si>
    <t>Cheese + Milk</t>
  </si>
  <si>
    <t>Bread + Cheese</t>
  </si>
  <si>
    <t xml:space="preserve">2 Major Issues </t>
  </si>
  <si>
    <t>1. DO not know naturally occuring cluster</t>
  </si>
  <si>
    <t>Bread+ milk</t>
  </si>
  <si>
    <t>2. Do not have any mean to determine the quality of cluster ()</t>
  </si>
  <si>
    <t>Patato + onion</t>
  </si>
  <si>
    <t xml:space="preserve">Below min support </t>
  </si>
  <si>
    <t>can not differentiate good cluster or bad clusters</t>
  </si>
  <si>
    <t>butter + milk</t>
  </si>
  <si>
    <t>bread + butter + milk</t>
  </si>
  <si>
    <t>How to assign physical meaning to the cluster</t>
  </si>
  <si>
    <t>bread + egg</t>
  </si>
  <si>
    <t>Sell of butter in the presence of bread</t>
  </si>
  <si>
    <t>P(Butter/Bread)</t>
  </si>
  <si>
    <t>Bread Sold</t>
  </si>
  <si>
    <t>chances of butter being sold</t>
  </si>
  <si>
    <t>Cheese sold</t>
  </si>
  <si>
    <t>chances of milk selling</t>
  </si>
  <si>
    <t>Butter sold</t>
  </si>
  <si>
    <t>chances of bread being sold</t>
  </si>
  <si>
    <t>confidence =  87.5 %</t>
  </si>
  <si>
    <t>milk sold</t>
  </si>
  <si>
    <t>chances of chees selling</t>
  </si>
  <si>
    <t>similar records</t>
  </si>
  <si>
    <t>Shop owner will try to sell butter, because in presence of butter chances of bread being sold is high</t>
  </si>
  <si>
    <t>Associated columns</t>
  </si>
  <si>
    <t>Support</t>
  </si>
  <si>
    <t>Confidence</t>
  </si>
  <si>
    <t>K-means</t>
  </si>
  <si>
    <t>100 %</t>
  </si>
  <si>
    <t>Hierarchical</t>
  </si>
  <si>
    <t xml:space="preserve">Min </t>
  </si>
  <si>
    <t>DBSCAN</t>
  </si>
  <si>
    <t xml:space="preserve">Density based spatial clustering of applications with noise </t>
  </si>
  <si>
    <t>Prospective outlier detection</t>
  </si>
  <si>
    <t>lift =</t>
  </si>
  <si>
    <t>How product B is getting sold in the presence of A/ How product B is sold individually</t>
  </si>
  <si>
    <t>Good Association rule</t>
  </si>
  <si>
    <t>support &gt;=  min support level</t>
  </si>
  <si>
    <t>confidence &gt;= min confidence</t>
  </si>
  <si>
    <t>lift &gt; 1</t>
  </si>
  <si>
    <t>Support =</t>
  </si>
  <si>
    <t>P(A ^ B)</t>
  </si>
  <si>
    <t>condidence =  P(B/A) =  P(A ^ B)/P(A) = support (A=&gt;B)/support(A)</t>
  </si>
  <si>
    <t>Lift = P(B/A)/P(B) = confidence(A=&gt;B)/support(B) =   P(A ^ B)/P(A)P(B)</t>
  </si>
  <si>
    <t>Apriori algorithm</t>
  </si>
  <si>
    <t>Min_support = 2</t>
  </si>
  <si>
    <t>Min_confidence = 50%</t>
  </si>
  <si>
    <t xml:space="preserve">This is a separate example </t>
  </si>
  <si>
    <t>Transaction ID</t>
  </si>
  <si>
    <t>Transactions</t>
  </si>
  <si>
    <t>Iter1</t>
  </si>
  <si>
    <t>Iter2</t>
  </si>
  <si>
    <t>Iter3</t>
  </si>
  <si>
    <t>I1,I2,I5</t>
  </si>
  <si>
    <t xml:space="preserve">I1, I2 </t>
  </si>
  <si>
    <t>I1, I2, I3</t>
  </si>
  <si>
    <t>I1,I2,I3,I4</t>
  </si>
  <si>
    <t>I2,I4</t>
  </si>
  <si>
    <t>I1, I3</t>
  </si>
  <si>
    <t>I1, I2, I4</t>
  </si>
  <si>
    <t>I1,I2,I3,I5</t>
  </si>
  <si>
    <t>I2,I3</t>
  </si>
  <si>
    <t>I1, I4</t>
  </si>
  <si>
    <t>I1, I2, I5</t>
  </si>
  <si>
    <t>I1, I2, I5, I4</t>
  </si>
  <si>
    <t>I1,I2,I4</t>
  </si>
  <si>
    <t>I1, I5</t>
  </si>
  <si>
    <t>I1, I3, I4</t>
  </si>
  <si>
    <t>I1,I3</t>
  </si>
  <si>
    <t>I2, I3</t>
  </si>
  <si>
    <t>I1, I3, I5</t>
  </si>
  <si>
    <t>I2, I4</t>
  </si>
  <si>
    <t>.</t>
  </si>
  <si>
    <t>I2, I5</t>
  </si>
  <si>
    <t>I3, I4</t>
  </si>
  <si>
    <t>I1,I2,I3</t>
  </si>
  <si>
    <t>I3, I5</t>
  </si>
  <si>
    <t>I4, I5</t>
  </si>
  <si>
    <t xml:space="preserve">I1 </t>
  </si>
  <si>
    <t>I2</t>
  </si>
  <si>
    <t xml:space="preserve">I3 </t>
  </si>
  <si>
    <t>I4</t>
  </si>
  <si>
    <t>Support = P(A^B)</t>
  </si>
  <si>
    <t>P(A)</t>
  </si>
  <si>
    <t>Lift</t>
  </si>
  <si>
    <t>I5</t>
  </si>
  <si>
    <t>I1</t>
  </si>
  <si>
    <t>I3</t>
  </si>
  <si>
    <t>I1, I2</t>
  </si>
  <si>
    <t xml:space="preserve">I2 </t>
  </si>
  <si>
    <t>Best Rule</t>
  </si>
  <si>
    <t>With the maximum lift</t>
  </si>
  <si>
    <t>Structured</t>
  </si>
  <si>
    <t>Unstructured</t>
  </si>
  <si>
    <t>Graph Database</t>
  </si>
  <si>
    <t>Oracle</t>
  </si>
  <si>
    <t>MongoDB</t>
  </si>
  <si>
    <t>Neo4j</t>
  </si>
  <si>
    <t>AWS - sagemaker</t>
  </si>
  <si>
    <t>MySQL</t>
  </si>
  <si>
    <t>Elasticsearch</t>
  </si>
  <si>
    <t>Postgress</t>
  </si>
  <si>
    <t>Snowflake</t>
  </si>
  <si>
    <t>Word2 Vec embeddings (Developed by google)</t>
  </si>
  <si>
    <t>This is the first word embedding sentence in NLP</t>
  </si>
  <si>
    <t>CBOW</t>
  </si>
  <si>
    <t>x(t-1)</t>
  </si>
  <si>
    <t>x(t-2)</t>
  </si>
  <si>
    <t>x(t+1)</t>
  </si>
  <si>
    <t>x(t+2)</t>
  </si>
  <si>
    <t>y = x(t)</t>
  </si>
  <si>
    <t xml:space="preserve">is </t>
  </si>
  <si>
    <t xml:space="preserve">the </t>
  </si>
  <si>
    <t>word</t>
  </si>
  <si>
    <t>embeddings</t>
  </si>
  <si>
    <t>first</t>
  </si>
  <si>
    <t xml:space="preserve">embedding </t>
  </si>
  <si>
    <t>sentence</t>
  </si>
  <si>
    <t>Skip gram</t>
  </si>
  <si>
    <t xml:space="preserve"> x(t)</t>
  </si>
  <si>
    <t>(is,the,word,embeddings)</t>
  </si>
  <si>
    <t>(the ,first,embedding ,sentence)</t>
  </si>
  <si>
    <t>Doc1</t>
  </si>
  <si>
    <t>The quick brown fox jumps over the lazy dog</t>
  </si>
  <si>
    <t>Doc2</t>
  </si>
  <si>
    <t>The quick brown fox</t>
  </si>
  <si>
    <t>Doc3</t>
  </si>
  <si>
    <t>The lazy crazy dog</t>
  </si>
  <si>
    <t>Doc4</t>
  </si>
  <si>
    <t>The quick fox jumps over fox</t>
  </si>
  <si>
    <t>Bag of words</t>
  </si>
  <si>
    <t>Documents/ Sentences</t>
  </si>
  <si>
    <t>quick</t>
  </si>
  <si>
    <t>brown</t>
  </si>
  <si>
    <t>fox</t>
  </si>
  <si>
    <t xml:space="preserve">jumps </t>
  </si>
  <si>
    <t>over</t>
  </si>
  <si>
    <t xml:space="preserve">lazy </t>
  </si>
  <si>
    <t>dog</t>
  </si>
  <si>
    <t>crazy</t>
  </si>
  <si>
    <t>Term frequency Inverse document frequency</t>
  </si>
  <si>
    <t>words</t>
  </si>
  <si>
    <t>Term Frequency</t>
  </si>
  <si>
    <t>IDF</t>
  </si>
  <si>
    <t>TF-IDF</t>
  </si>
  <si>
    <t>IDF(natural log)</t>
  </si>
  <si>
    <t>The</t>
  </si>
  <si>
    <t>jumps</t>
  </si>
  <si>
    <t>log(total number of docs/in how many docs that term is appearing)</t>
  </si>
  <si>
    <t>I was sitting on the river bank</t>
  </si>
  <si>
    <t>I went to bank to deposite the cash</t>
  </si>
  <si>
    <t>Dimensionality Reduction techniques</t>
  </si>
  <si>
    <t>PCA</t>
  </si>
  <si>
    <t>Principal Component Analysis</t>
  </si>
  <si>
    <t>t- SNE</t>
  </si>
  <si>
    <t>LDA</t>
  </si>
  <si>
    <t>Linear discriminant analysis</t>
  </si>
  <si>
    <t>model trained on historical data</t>
  </si>
  <si>
    <t>Current data</t>
  </si>
  <si>
    <t>salary</t>
  </si>
  <si>
    <t>work environment</t>
  </si>
  <si>
    <t>onsite oportunity</t>
  </si>
  <si>
    <t>Employee status (Y)</t>
  </si>
  <si>
    <t>Employee status</t>
  </si>
  <si>
    <t>Target</t>
  </si>
  <si>
    <t>Predicted</t>
  </si>
  <si>
    <t>Low</t>
  </si>
  <si>
    <t>good</t>
  </si>
  <si>
    <t>no</t>
  </si>
  <si>
    <t>Left</t>
  </si>
  <si>
    <t>High</t>
  </si>
  <si>
    <t xml:space="preserve">yes </t>
  </si>
  <si>
    <t>yes</t>
  </si>
  <si>
    <t>high</t>
  </si>
  <si>
    <t>very good</t>
  </si>
  <si>
    <t>Not left</t>
  </si>
  <si>
    <t xml:space="preserve">no </t>
  </si>
  <si>
    <t>Accuracy = 80 %</t>
  </si>
  <si>
    <t>Misclassification error = 20 %</t>
  </si>
  <si>
    <t>y = f(x) + noise</t>
  </si>
  <si>
    <t>ycap = fcap(x)</t>
  </si>
  <si>
    <t xml:space="preserve">fcap </t>
  </si>
  <si>
    <t xml:space="preserve">Prediction error = y - ycap  </t>
  </si>
  <si>
    <t>Prediction error = f(x) + noise - fcap(x)</t>
  </si>
  <si>
    <t>Prediction error = [ f(x) - fcap(x) ] + noise</t>
  </si>
  <si>
    <t>[ f(x) - fcap(x) ]  = reducible error</t>
  </si>
  <si>
    <t>nosie = irreducible error</t>
  </si>
  <si>
    <t>Sr no</t>
  </si>
  <si>
    <t>Data</t>
  </si>
  <si>
    <t xml:space="preserve">Salary </t>
  </si>
  <si>
    <t>Career growth</t>
  </si>
  <si>
    <t>y = f(X : X = {x1,x2,x3,.....x11})</t>
  </si>
  <si>
    <t>location</t>
  </si>
  <si>
    <t>onsite</t>
  </si>
  <si>
    <t>manager</t>
  </si>
  <si>
    <t>work-life balace</t>
  </si>
  <si>
    <t>x</t>
  </si>
  <si>
    <t>derived_fn = sq</t>
  </si>
  <si>
    <t>increment</t>
  </si>
  <si>
    <t>marriage</t>
  </si>
  <si>
    <t>food</t>
  </si>
  <si>
    <t>shift</t>
  </si>
  <si>
    <t>y = f(x)</t>
  </si>
  <si>
    <t>y = sq(x)</t>
  </si>
  <si>
    <t>Validation set Approach</t>
  </si>
  <si>
    <t>Train data</t>
  </si>
  <si>
    <t>Validation Data</t>
  </si>
  <si>
    <t>Test data</t>
  </si>
  <si>
    <t xml:space="preserve">M1 = f1cap </t>
  </si>
  <si>
    <t>e1 = y1 - y1cap</t>
  </si>
  <si>
    <t>Validation data</t>
  </si>
  <si>
    <t xml:space="preserve">M2 = f2cap </t>
  </si>
  <si>
    <t>e2 = y2 - y2cap</t>
  </si>
  <si>
    <t xml:space="preserve">M3 = f3cap </t>
  </si>
  <si>
    <t>e3 = y3 - y3cap</t>
  </si>
  <si>
    <t xml:space="preserve">M4 = f4cap </t>
  </si>
  <si>
    <t>e4 = y4 - y4cap</t>
  </si>
  <si>
    <t xml:space="preserve"> minimum error</t>
  </si>
  <si>
    <t xml:space="preserve">M5 = f5cap </t>
  </si>
  <si>
    <t>e5 = y5 - y5cap</t>
  </si>
  <si>
    <t>Select M4</t>
  </si>
  <si>
    <t>Mean Sqaure error  = mean (Y - Ycap)^2</t>
  </si>
  <si>
    <t>Mean Sqaure error = [(y1 - y1cap)^2 + (y2 - y2cap)^2 + (y3 - y3cap)^2 + (y4 - y4cap)^2]/4</t>
  </si>
  <si>
    <t>Target (Y)</t>
  </si>
  <si>
    <t>Predicted (Ycap)</t>
  </si>
  <si>
    <t>Y - Ycap</t>
  </si>
  <si>
    <t>sq(Y-Ycap)</t>
  </si>
  <si>
    <t>MSE</t>
  </si>
  <si>
    <t>RMSE</t>
  </si>
  <si>
    <t xml:space="preserve">Cross Valivation </t>
  </si>
  <si>
    <t>1. LOOCV : Leave one out cross validation</t>
  </si>
  <si>
    <t>2. K - fold cross validation</t>
  </si>
  <si>
    <t>error = e(n)</t>
  </si>
  <si>
    <t>e(n-1)</t>
  </si>
  <si>
    <t>e(1)</t>
  </si>
  <si>
    <t>E1 = mean(e)</t>
  </si>
  <si>
    <t>M1</t>
  </si>
  <si>
    <t>E1</t>
  </si>
  <si>
    <t>n times</t>
  </si>
  <si>
    <t>M2</t>
  </si>
  <si>
    <t>E2</t>
  </si>
  <si>
    <t>M5</t>
  </si>
  <si>
    <t>E5</t>
  </si>
  <si>
    <t>1. Large computational complexity</t>
  </si>
  <si>
    <t>2 . Kfold cross validation : Data is divided into K parts</t>
  </si>
  <si>
    <t>K folds = 3</t>
  </si>
  <si>
    <t xml:space="preserve">Train </t>
  </si>
  <si>
    <t>test</t>
  </si>
  <si>
    <t>1,2</t>
  </si>
  <si>
    <t>m1</t>
  </si>
  <si>
    <t>acc1</t>
  </si>
  <si>
    <t>1,3</t>
  </si>
  <si>
    <t>m2</t>
  </si>
  <si>
    <t>acc2</t>
  </si>
  <si>
    <t>2,3</t>
  </si>
  <si>
    <t>m3</t>
  </si>
  <si>
    <t>acc3</t>
  </si>
  <si>
    <t>K = 10 gives the best results</t>
  </si>
  <si>
    <t>AT</t>
  </si>
  <si>
    <t>AF</t>
  </si>
  <si>
    <t>PT</t>
  </si>
  <si>
    <t>TP</t>
  </si>
  <si>
    <t>FP</t>
  </si>
  <si>
    <t>PF</t>
  </si>
  <si>
    <t>FN</t>
  </si>
  <si>
    <t>TN</t>
  </si>
  <si>
    <t># 1. Sampling without replacement</t>
  </si>
  <si>
    <t># 2.  Sampling with replcement</t>
  </si>
  <si>
    <t># Sampling is always done randomly</t>
  </si>
  <si>
    <t># 1. Sampling without replacement : once the row is copied it is deleted from original sheet</t>
  </si>
  <si>
    <t># 2. Sampling with replacement (Bootstrap sampling)</t>
  </si>
  <si>
    <t>70 % unique</t>
  </si>
  <si>
    <t>....................</t>
  </si>
  <si>
    <t>30 % Duplicate</t>
  </si>
  <si>
    <t>first sample data</t>
  </si>
  <si>
    <t>second sample data</t>
  </si>
  <si>
    <t>third sample data</t>
  </si>
  <si>
    <t>hundredth sample data</t>
  </si>
  <si>
    <t>T1</t>
  </si>
  <si>
    <t>T2</t>
  </si>
  <si>
    <t>T3</t>
  </si>
  <si>
    <t>T4</t>
  </si>
  <si>
    <t>Bagging of trees</t>
  </si>
  <si>
    <t>soda</t>
  </si>
  <si>
    <t>out of Bag error</t>
  </si>
  <si>
    <t>output = mode(Pred_T1,Pred_T2,Pred_T3,Pred_T4)</t>
  </si>
  <si>
    <t>4 features  = f1,f2,f3,f4</t>
  </si>
  <si>
    <t>f1,f3</t>
  </si>
  <si>
    <t>f1,f2</t>
  </si>
  <si>
    <t>f2,f4</t>
  </si>
  <si>
    <t>f1,f4</t>
  </si>
  <si>
    <t>Features and data (records) are selected randomly there the name random forest</t>
  </si>
  <si>
    <t>Ppredictos = p</t>
  </si>
  <si>
    <t>Classification = sq.root(p)</t>
  </si>
  <si>
    <t>Regression = P/3</t>
  </si>
  <si>
    <t>sigma/sq.root(n)</t>
  </si>
  <si>
    <t>cat</t>
  </si>
  <si>
    <t>rabbit</t>
  </si>
  <si>
    <t>weight prediction using height</t>
  </si>
  <si>
    <t>if there is no input parameter to predict ouptut, then average is taken as prediction</t>
  </si>
  <si>
    <t>height (x)</t>
  </si>
  <si>
    <t>weight (Y)</t>
  </si>
  <si>
    <t>Mean prediction</t>
  </si>
  <si>
    <t>predicted weight (Ycap)</t>
  </si>
  <si>
    <t>weight (Y) - mean(weight (Y))</t>
  </si>
  <si>
    <t>weight (Y) - predicted weight (Ycap)</t>
  </si>
  <si>
    <t>MSE(weight (Y) - mean(weight (Y)))</t>
  </si>
  <si>
    <t>MSE(weight (Y) - predicted weight (Ycap))</t>
  </si>
  <si>
    <t>error wrt mean</t>
  </si>
  <si>
    <t>error when there is predictor height</t>
  </si>
  <si>
    <t>x_mean</t>
  </si>
  <si>
    <t>y_mean</t>
  </si>
  <si>
    <t>x - x_mean</t>
  </si>
  <si>
    <t>y - y_mean</t>
  </si>
  <si>
    <t>E*F</t>
  </si>
  <si>
    <t>deno</t>
  </si>
  <si>
    <t>B0</t>
  </si>
  <si>
    <t>B1</t>
  </si>
  <si>
    <t>ypred</t>
  </si>
  <si>
    <t>y - ypred</t>
  </si>
  <si>
    <t>sq(y-ypred)</t>
  </si>
  <si>
    <t>SS</t>
  </si>
  <si>
    <t>std _ x =</t>
  </si>
  <si>
    <t xml:space="preserve">std_y = </t>
  </si>
  <si>
    <t>B1 =</t>
  </si>
  <si>
    <t xml:space="preserve">B0 = </t>
  </si>
  <si>
    <t>y = B0 + B1 * x</t>
  </si>
  <si>
    <t>B1 = SUM([x-mean(x)]*(y-mean(y)))/SUM([x-mean(x)]^2)</t>
  </si>
  <si>
    <t xml:space="preserve">corr(x,y) = </t>
  </si>
  <si>
    <t>B0 = mean(y) - B1*mean(x)</t>
  </si>
  <si>
    <t>B1 = corr(x,y)*stddev(y) / stddev(x)</t>
  </si>
  <si>
    <t xml:space="preserve">B1 = </t>
  </si>
  <si>
    <t>X1</t>
  </si>
  <si>
    <t>b0</t>
  </si>
  <si>
    <t>b1</t>
  </si>
  <si>
    <t>b2</t>
  </si>
  <si>
    <t>prediction</t>
  </si>
  <si>
    <t>Prediction</t>
  </si>
  <si>
    <t>Ypred</t>
  </si>
  <si>
    <t>transformed</t>
  </si>
  <si>
    <t>Transformed</t>
  </si>
  <si>
    <t>A &amp; B are dependent</t>
  </si>
  <si>
    <t>A = {1,2,3}</t>
  </si>
  <si>
    <t>output = b0 + b1X1 + b2X2</t>
  </si>
  <si>
    <t>B = {3,4,5}</t>
  </si>
  <si>
    <t>A U B = A + B  = {1,2,3,3,4,5}</t>
  </si>
  <si>
    <t>p(class=0) = 1/(1 + EXP(-output))</t>
  </si>
  <si>
    <t>A U B = A + B - (A ^ B) = {1,2,3,4,5}</t>
  </si>
  <si>
    <t>b = b + alpha * (y - prediction) *prediction*(1-prediction)*X</t>
  </si>
  <si>
    <t>A &amp; B are independent</t>
  </si>
  <si>
    <t>B = {4,5,6}</t>
  </si>
  <si>
    <t xml:space="preserve">b0 </t>
  </si>
  <si>
    <t>A U B = A + B = {1,2,3,4,5,6}</t>
  </si>
  <si>
    <t xml:space="preserve">A &amp; </t>
  </si>
  <si>
    <t>Cancer</t>
  </si>
  <si>
    <t>Actual (Y)</t>
  </si>
  <si>
    <t>Predicted (Y)</t>
  </si>
  <si>
    <t>Yes</t>
  </si>
  <si>
    <t xml:space="preserve">True Positive </t>
  </si>
  <si>
    <t>True Negative</t>
  </si>
  <si>
    <t>False Negative</t>
  </si>
  <si>
    <t>No</t>
  </si>
  <si>
    <t>False Positive</t>
  </si>
  <si>
    <t>False Nagatives</t>
  </si>
  <si>
    <t>Cancer prediction</t>
  </si>
  <si>
    <t xml:space="preserve">No </t>
  </si>
  <si>
    <t>video recommendation wrt user</t>
  </si>
  <si>
    <t>F1 score : FP + FN</t>
  </si>
  <si>
    <t>Contigency table</t>
  </si>
  <si>
    <t>A</t>
  </si>
  <si>
    <t>B</t>
  </si>
  <si>
    <t>Total</t>
  </si>
  <si>
    <t>E</t>
  </si>
  <si>
    <t>110/200</t>
  </si>
  <si>
    <t>90/200</t>
  </si>
  <si>
    <t>W</t>
  </si>
  <si>
    <t>256/288</t>
  </si>
  <si>
    <t>32/288</t>
  </si>
  <si>
    <t>N</t>
  </si>
  <si>
    <t>176/386</t>
  </si>
  <si>
    <t>210/386</t>
  </si>
  <si>
    <t>S</t>
  </si>
  <si>
    <t>200/449</t>
  </si>
  <si>
    <t>249/449</t>
  </si>
  <si>
    <t>Min Max Scaling</t>
  </si>
  <si>
    <t>F1</t>
  </si>
  <si>
    <t>F2</t>
  </si>
  <si>
    <t>F1_std</t>
  </si>
  <si>
    <t>F1_scaled</t>
  </si>
  <si>
    <t>F2_std</t>
  </si>
  <si>
    <t>F2_scaled</t>
  </si>
  <si>
    <t>Min -Max Scaling</t>
  </si>
  <si>
    <t>Standard Scaling</t>
  </si>
  <si>
    <t>Xmin</t>
  </si>
  <si>
    <t>Xmax</t>
  </si>
  <si>
    <t>min</t>
  </si>
  <si>
    <t>max</t>
  </si>
  <si>
    <t>Xstd = (X - Xmin)/(Xmax - Xmin)</t>
  </si>
  <si>
    <t>X_scaled = Xstd(max - min) + min</t>
  </si>
  <si>
    <t>F1_standard_scaled</t>
  </si>
  <si>
    <t>F2_standard_scaled</t>
  </si>
  <si>
    <t>X_scaled = (X - Xmean)/std_dev(X)</t>
  </si>
  <si>
    <t>in Xscaled Xmean will be zero and standard deviation will be 1</t>
  </si>
  <si>
    <t>mean</t>
  </si>
  <si>
    <t>std_dev</t>
  </si>
  <si>
    <t>link</t>
  </si>
  <si>
    <t>ML</t>
  </si>
  <si>
    <t xml:space="preserve">1. Predictive maintenance finding RUL </t>
  </si>
  <si>
    <t>https://archive.ics.uci.edu/ml/datasets/AI4I+2020+Predictive+Maintenance+Dataset</t>
  </si>
  <si>
    <t>NLP</t>
  </si>
  <si>
    <t>2. Rasa framework Chatbot</t>
  </si>
  <si>
    <t>Deep learning</t>
  </si>
  <si>
    <t>3. electonics product classification using CNN</t>
  </si>
  <si>
    <t>4. Clothing Image Recognition Based on Multiple Features Using Deep Neural Networks</t>
  </si>
  <si>
    <t xml:space="preserve">NLP </t>
  </si>
  <si>
    <r>
      <rPr/>
      <t xml:space="preserve">5. </t>
    </r>
    <r>
      <rPr>
        <color rgb="FF1155CC"/>
        <u/>
      </rPr>
      <t>https://medium.com/wisio/a-gentle-introduction-to-doc2vec-db3e8c0cce5e</t>
    </r>
  </si>
  <si>
    <t>DL</t>
  </si>
  <si>
    <t>6. Time series forecasting using LSTM</t>
  </si>
  <si>
    <t>https://www.youtube.com/watch?v=tepxdcepTbY</t>
  </si>
  <si>
    <t>Sr No</t>
  </si>
  <si>
    <t>Weight</t>
  </si>
  <si>
    <t>x-mu</t>
  </si>
  <si>
    <t>(x-mu)2</t>
  </si>
  <si>
    <t>sample weight</t>
  </si>
  <si>
    <t>std_dev_N</t>
  </si>
  <si>
    <t>std_dev_N-1</t>
  </si>
  <si>
    <t>`</t>
  </si>
  <si>
    <t xml:space="preserve">population_std_dev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</si>
</sst>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Roboto"/>
    </font>
    <font>
      <sz val="6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rgb="FF0A0A0A"/>
      <name val="Arial"/>
    </font>
    <font>
      <b/>
      <sz val="12.0"/>
      <color rgb="FF0A0A0A"/>
      <name val="&quot;Google Sans&quot;"/>
    </font>
    <font>
      <color rgb="FFFF0000"/>
      <name val="Arial"/>
      <scheme val="minor"/>
    </font>
    <font/>
    <font>
      <color rgb="FF000000"/>
      <name val="Arial"/>
    </font>
    <font>
      <sz val="12.0"/>
      <color rgb="FF202124"/>
      <name val="Arial"/>
    </font>
    <font>
      <sz val="11.0"/>
      <color rgb="FF000000"/>
      <name val="Arial"/>
    </font>
    <font>
      <sz val="11.0"/>
      <color rgb="FF000000"/>
      <name val="Inconsolata"/>
    </font>
    <font>
      <u/>
      <color rgb="FF0000FF"/>
    </font>
    <font>
      <sz val="10.0"/>
      <color rgb="FF333333"/>
      <name val="Arial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Border="1" applyFont="1"/>
    <xf borderId="0" fillId="0" fontId="1" numFmtId="0" xfId="0" applyFont="1"/>
    <xf borderId="0" fillId="4" fontId="1" numFmtId="0" xfId="0" applyFill="1" applyFont="1"/>
    <xf borderId="1" fillId="5" fontId="1" numFmtId="0" xfId="0" applyBorder="1" applyFill="1" applyFont="1"/>
    <xf borderId="1" fillId="6" fontId="1" numFmtId="0" xfId="0" applyBorder="1" applyFill="1" applyFont="1"/>
    <xf quotePrefix="1" borderId="1" fillId="0" fontId="1" numFmtId="0" xfId="0" applyAlignment="1" applyBorder="1" applyFont="1">
      <alignment readingOrder="0"/>
    </xf>
    <xf borderId="1" fillId="4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0" fillId="0" fontId="3" numFmtId="0" xfId="0" applyFont="1"/>
    <xf borderId="0" fillId="0" fontId="3" numFmtId="0" xfId="0" applyAlignment="1" applyFont="1">
      <alignment readingOrder="0"/>
    </xf>
    <xf borderId="1" fillId="0" fontId="3" numFmtId="0" xfId="0" applyBorder="1" applyFont="1"/>
    <xf borderId="1" fillId="6" fontId="4" numFmtId="0" xfId="0" applyAlignment="1" applyBorder="1" applyFont="1">
      <alignment readingOrder="0"/>
    </xf>
    <xf borderId="1" fillId="9" fontId="3" numFmtId="0" xfId="0" applyBorder="1" applyFill="1" applyFont="1"/>
    <xf borderId="1" fillId="10" fontId="1" numFmtId="0" xfId="0" applyBorder="1" applyFill="1" applyFont="1"/>
    <xf borderId="0" fillId="0" fontId="1" numFmtId="0" xfId="0" applyAlignment="1" applyFont="1">
      <alignment horizontal="right" readingOrder="0"/>
    </xf>
    <xf borderId="1" fillId="11" fontId="1" numFmtId="0" xfId="0" applyAlignment="1" applyBorder="1" applyFill="1" applyFont="1">
      <alignment readingOrder="0"/>
    </xf>
    <xf borderId="0" fillId="6" fontId="1" numFmtId="0" xfId="0" applyFont="1"/>
    <xf borderId="0" fillId="0" fontId="5" numFmtId="0" xfId="0" applyAlignment="1" applyFont="1">
      <alignment horizontal="center" readingOrder="0"/>
    </xf>
    <xf borderId="0" fillId="2" fontId="6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3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12" fontId="1" numFmtId="0" xfId="0" applyAlignment="1" applyFill="1" applyFont="1">
      <alignment readingOrder="0"/>
    </xf>
    <xf borderId="0" fillId="0" fontId="1" numFmtId="10" xfId="0" applyFont="1" applyNumberFormat="1"/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8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3" fillId="0" fontId="1" numFmtId="0" xfId="0" applyAlignment="1" applyBorder="1" applyFont="1">
      <alignment horizontal="center" readingOrder="0"/>
    </xf>
    <xf borderId="3" fillId="0" fontId="9" numFmtId="0" xfId="0" applyBorder="1" applyFont="1"/>
    <xf borderId="4" fillId="0" fontId="9" numFmtId="0" xfId="0" applyBorder="1" applyFont="1"/>
    <xf borderId="5" fillId="0" fontId="1" numFmtId="0" xfId="0" applyAlignment="1" applyBorder="1" applyFont="1">
      <alignment readingOrder="0"/>
    </xf>
    <xf borderId="0" fillId="13" fontId="1" numFmtId="0" xfId="0" applyAlignment="1" applyFill="1" applyFont="1">
      <alignment readingOrder="0"/>
    </xf>
    <xf borderId="6" fillId="12" fontId="1" numFmtId="0" xfId="0" applyAlignment="1" applyBorder="1" applyFont="1">
      <alignment readingOrder="0"/>
    </xf>
    <xf borderId="0" fillId="12" fontId="10" numFmtId="0" xfId="0" applyAlignment="1" applyFont="1">
      <alignment horizontal="left" readingOrder="0"/>
    </xf>
    <xf borderId="0" fillId="2" fontId="10" numFmtId="0" xfId="0" applyAlignment="1" applyFont="1">
      <alignment horizontal="left"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8" fillId="12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Border="1" applyFont="1"/>
    <xf borderId="2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0" fillId="12" fontId="1" numFmtId="0" xfId="0" applyFont="1"/>
    <xf borderId="5" fillId="13" fontId="1" numFmtId="0" xfId="0" applyAlignment="1" applyBorder="1" applyFont="1">
      <alignment readingOrder="0"/>
    </xf>
    <xf borderId="0" fillId="13" fontId="1" numFmtId="0" xfId="0" applyFont="1"/>
    <xf borderId="6" fillId="13" fontId="1" numFmtId="0" xfId="0" applyAlignment="1" applyBorder="1" applyFont="1">
      <alignment readingOrder="0"/>
    </xf>
    <xf borderId="0" fillId="2" fontId="11" numFmtId="0" xfId="0" applyAlignment="1" applyFont="1">
      <alignment readingOrder="0"/>
    </xf>
    <xf borderId="1" fillId="14" fontId="1" numFmtId="0" xfId="0" applyAlignment="1" applyBorder="1" applyFill="1" applyFont="1">
      <alignment readingOrder="0"/>
    </xf>
    <xf borderId="1" fillId="14" fontId="1" numFmtId="0" xfId="0" applyBorder="1" applyFont="1"/>
    <xf borderId="1" fillId="11" fontId="1" numFmtId="0" xfId="0" applyBorder="1" applyFont="1"/>
    <xf borderId="0" fillId="0" fontId="1" numFmtId="0" xfId="0" applyAlignment="1" applyFont="1">
      <alignment horizontal="center" readingOrder="0"/>
    </xf>
    <xf borderId="1" fillId="15" fontId="1" numFmtId="0" xfId="0" applyBorder="1" applyFill="1" applyFont="1"/>
    <xf borderId="0" fillId="14" fontId="1" numFmtId="0" xfId="0" applyFont="1"/>
    <xf borderId="0" fillId="15" fontId="1" numFmtId="0" xfId="0" applyFont="1"/>
    <xf borderId="0" fillId="11" fontId="1" numFmtId="0" xfId="0" applyFont="1"/>
    <xf borderId="10" fillId="0" fontId="1" numFmtId="0" xfId="0" applyAlignment="1" applyBorder="1" applyFont="1">
      <alignment readingOrder="0"/>
    </xf>
    <xf borderId="11" fillId="0" fontId="9" numFmtId="0" xfId="0" applyBorder="1" applyFont="1"/>
    <xf borderId="12" fillId="0" fontId="9" numFmtId="0" xfId="0" applyBorder="1" applyFont="1"/>
    <xf borderId="0" fillId="11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" fillId="2" fontId="12" numFmtId="0" xfId="0" applyAlignment="1" applyBorder="1" applyFont="1">
      <alignment readingOrder="0"/>
    </xf>
    <xf borderId="0" fillId="2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2" fontId="15" numFmtId="0" xfId="0" applyAlignment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vs. x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'Linear regression'!$B$1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'Linear regression'!$A$2:$A$11</c:f>
            </c:strRef>
          </c:cat>
          <c:val>
            <c:numRef>
              <c:f>'Linear regression'!$B$2:$B$11</c:f>
              <c:numCache/>
            </c:numRef>
          </c:val>
          <c:smooth val="0"/>
        </c:ser>
        <c:axId val="1894978367"/>
        <c:axId val="563772009"/>
      </c:lineChart>
      <c:catAx>
        <c:axId val="1894978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772009"/>
      </c:catAx>
      <c:valAx>
        <c:axId val="563772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978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1466850" cy="1209675"/>
    <xdr:pic>
      <xdr:nvPicPr>
        <xdr:cNvPr id="155944228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98</xdr:row>
      <xdr:rowOff>152400</xdr:rowOff>
    </xdr:from>
    <xdr:ext cx="5981700" cy="3095625"/>
    <xdr:grpSp>
      <xdr:nvGrpSpPr>
        <xdr:cNvPr id="2" name="Shape 2" title="Drawing"/>
        <xdr:cNvGrpSpPr/>
      </xdr:nvGrpSpPr>
      <xdr:grpSpPr>
        <a:xfrm>
          <a:off x="634975" y="675925"/>
          <a:ext cx="5961425" cy="3076000"/>
          <a:chOff x="634975" y="675925"/>
          <a:chExt cx="5961425" cy="3076000"/>
        </a:xfrm>
      </xdr:grpSpPr>
      <xdr:sp>
        <xdr:nvSpPr>
          <xdr:cNvPr id="3" name="Shape 3"/>
          <xdr:cNvSpPr/>
        </xdr:nvSpPr>
        <xdr:spPr>
          <a:xfrm>
            <a:off x="634975" y="1156525"/>
            <a:ext cx="613500" cy="5727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x1</a:t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634975" y="2126975"/>
            <a:ext cx="613500" cy="5727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x2</a:t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634975" y="3179225"/>
            <a:ext cx="613500" cy="5727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x3</a:t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2774700" y="2096375"/>
            <a:ext cx="654300" cy="6339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7" name="Shape 7"/>
          <xdr:cNvCxnSpPr>
            <a:stCxn id="3" idx="6"/>
            <a:endCxn id="6" idx="1"/>
          </xdr:cNvCxnSpPr>
        </xdr:nvCxnSpPr>
        <xdr:spPr>
          <a:xfrm>
            <a:off x="1248475" y="1442875"/>
            <a:ext cx="1622100" cy="746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" name="Shape 8"/>
          <xdr:cNvCxnSpPr>
            <a:stCxn id="4" idx="6"/>
            <a:endCxn id="6" idx="2"/>
          </xdr:cNvCxnSpPr>
        </xdr:nvCxnSpPr>
        <xdr:spPr>
          <a:xfrm>
            <a:off x="1248475" y="2413325"/>
            <a:ext cx="1526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9" name="Shape 9"/>
          <xdr:cNvCxnSpPr>
            <a:endCxn id="6" idx="3"/>
          </xdr:cNvCxnSpPr>
        </xdr:nvCxnSpPr>
        <xdr:spPr>
          <a:xfrm flipH="1" rot="10800000">
            <a:off x="1248420" y="2637442"/>
            <a:ext cx="1622100" cy="828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0" name="Shape 10"/>
          <xdr:cNvSpPr txBox="1"/>
        </xdr:nvSpPr>
        <xdr:spPr>
          <a:xfrm>
            <a:off x="1776325" y="1391725"/>
            <a:ext cx="470400" cy="184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a1</a:t>
            </a:r>
            <a:endParaRPr sz="1400"/>
          </a:p>
        </xdr:txBody>
      </xdr:sp>
      <xdr:sp>
        <xdr:nvSpPr>
          <xdr:cNvPr id="11" name="Shape 11"/>
          <xdr:cNvSpPr txBox="1"/>
        </xdr:nvSpPr>
        <xdr:spPr>
          <a:xfrm>
            <a:off x="1592425" y="2096375"/>
            <a:ext cx="654300" cy="264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a2</a:t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1483700" y="2881725"/>
            <a:ext cx="388500" cy="264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a3</a:t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2342650" y="675925"/>
            <a:ext cx="470400" cy="408900"/>
          </a:xfrm>
          <a:prstGeom prst="hexagon">
            <a:avLst>
              <a:gd fmla="val 28852" name="adj"/>
              <a:gd fmla="val 115470" name="vf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</a:t>
            </a:r>
            <a:endParaRPr sz="1400"/>
          </a:p>
        </xdr:txBody>
      </xdr:sp>
      <xdr:cxnSp>
        <xdr:nvCxnSpPr>
          <xdr:cNvPr id="14" name="Shape 14"/>
          <xdr:cNvCxnSpPr>
            <a:stCxn id="13" idx="1"/>
            <a:endCxn id="6" idx="0"/>
          </xdr:cNvCxnSpPr>
        </xdr:nvCxnSpPr>
        <xdr:spPr>
          <a:xfrm>
            <a:off x="2695074" y="1084825"/>
            <a:ext cx="406800" cy="1011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5" name="Shape 15"/>
          <xdr:cNvSpPr/>
        </xdr:nvSpPr>
        <xdr:spPr>
          <a:xfrm>
            <a:off x="2907600" y="2229725"/>
            <a:ext cx="388500" cy="367200"/>
          </a:xfrm>
          <a:prstGeom prst="mathPlus">
            <a:avLst>
              <a:gd fmla="val 31070" name="adj1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4295750" y="2096375"/>
            <a:ext cx="1145400" cy="6339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sigmoid</a:t>
            </a:r>
            <a:endParaRPr sz="1400"/>
          </a:p>
        </xdr:txBody>
      </xdr:sp>
      <xdr:cxnSp>
        <xdr:nvCxnSpPr>
          <xdr:cNvPr id="17" name="Shape 17"/>
          <xdr:cNvCxnSpPr>
            <a:stCxn id="6" idx="6"/>
            <a:endCxn id="16" idx="2"/>
          </xdr:cNvCxnSpPr>
        </xdr:nvCxnSpPr>
        <xdr:spPr>
          <a:xfrm>
            <a:off x="3429000" y="2413325"/>
            <a:ext cx="8667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8" name="Shape 18"/>
          <xdr:cNvCxnSpPr>
            <a:stCxn id="16" idx="6"/>
          </xdr:cNvCxnSpPr>
        </xdr:nvCxnSpPr>
        <xdr:spPr>
          <a:xfrm flipH="1" rot="10800000">
            <a:off x="5441150" y="2404025"/>
            <a:ext cx="766800" cy="9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9" name="Shape 19"/>
          <xdr:cNvSpPr txBox="1"/>
        </xdr:nvSpPr>
        <xdr:spPr>
          <a:xfrm>
            <a:off x="6310200" y="2271125"/>
            <a:ext cx="286200" cy="264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y</a:t>
            </a:r>
            <a:endParaRPr sz="1400"/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18</xdr:row>
      <xdr:rowOff>180975</xdr:rowOff>
    </xdr:from>
    <xdr:ext cx="4057650" cy="2438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0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archive.ics.uci.edu/ml/datasets/AI4I+2020+Predictive+Maintenance+Dataset" TargetMode="External"/><Relationship Id="rId2" Type="http://schemas.openxmlformats.org/officeDocument/2006/relationships/hyperlink" Target="https://medium.com/wisio/a-gentle-introduction-to-doc2vec-db3e8c0cce5e" TargetMode="External"/><Relationship Id="rId3" Type="http://schemas.openxmlformats.org/officeDocument/2006/relationships/hyperlink" Target="https://www.youtube.com/watch?v=tepxdcepTbY" TargetMode="External"/><Relationship Id="rId4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3" width="19.25"/>
    <col customWidth="1" min="4" max="4" width="14.75"/>
    <col customWidth="1" min="6" max="6" width="22.0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F2" s="1" t="s">
        <v>4</v>
      </c>
    </row>
    <row r="3">
      <c r="A3" s="1" t="s">
        <v>5</v>
      </c>
      <c r="B3" s="1">
        <v>1.0</v>
      </c>
      <c r="C3" s="1">
        <v>0.0</v>
      </c>
      <c r="D3" s="1">
        <v>0.0</v>
      </c>
    </row>
    <row r="4">
      <c r="A4" s="1" t="s">
        <v>6</v>
      </c>
      <c r="B4" s="1">
        <v>0.0</v>
      </c>
      <c r="C4" s="1">
        <v>1.0</v>
      </c>
      <c r="D4" s="1">
        <v>0.0</v>
      </c>
    </row>
    <row r="5">
      <c r="A5" s="1" t="s">
        <v>7</v>
      </c>
      <c r="B5" s="1">
        <v>0.0</v>
      </c>
      <c r="C5" s="1">
        <v>0.0</v>
      </c>
      <c r="D5" s="1">
        <v>1.0</v>
      </c>
    </row>
    <row r="7">
      <c r="A7" s="1" t="s">
        <v>8</v>
      </c>
    </row>
    <row r="8">
      <c r="A8" s="1" t="s">
        <v>9</v>
      </c>
    </row>
    <row r="11">
      <c r="A11" s="1" t="s">
        <v>0</v>
      </c>
      <c r="B11" s="2"/>
      <c r="C11" s="2" t="s">
        <v>10</v>
      </c>
      <c r="D11" s="2"/>
      <c r="F11" s="1" t="s">
        <v>11</v>
      </c>
      <c r="G11" s="1" t="s">
        <v>12</v>
      </c>
    </row>
    <row r="12">
      <c r="A12" s="1" t="s">
        <v>5</v>
      </c>
      <c r="B12" s="1"/>
      <c r="C12" s="1">
        <v>1.0</v>
      </c>
      <c r="F12" s="1" t="s">
        <v>13</v>
      </c>
      <c r="G12" s="1" t="s">
        <v>14</v>
      </c>
      <c r="I12" s="1" t="s">
        <v>14</v>
      </c>
      <c r="J12" s="1" t="s">
        <v>15</v>
      </c>
    </row>
    <row r="13">
      <c r="A13" s="1" t="s">
        <v>6</v>
      </c>
      <c r="B13" s="1"/>
      <c r="C13" s="1">
        <v>2.0</v>
      </c>
      <c r="F13" s="1" t="s">
        <v>13</v>
      </c>
      <c r="G13" s="1" t="s">
        <v>15</v>
      </c>
      <c r="H13" s="1" t="s">
        <v>13</v>
      </c>
      <c r="I13" s="1">
        <v>2.0</v>
      </c>
      <c r="J13" s="1">
        <v>2.0</v>
      </c>
    </row>
    <row r="14">
      <c r="A14" s="1" t="s">
        <v>7</v>
      </c>
      <c r="B14" s="1"/>
      <c r="C14" s="1">
        <v>3.0</v>
      </c>
      <c r="F14" s="1" t="s">
        <v>13</v>
      </c>
      <c r="G14" s="1" t="s">
        <v>14</v>
      </c>
      <c r="H14" s="1" t="s">
        <v>16</v>
      </c>
      <c r="I14" s="1">
        <v>2.0</v>
      </c>
      <c r="J14" s="1">
        <v>2.0</v>
      </c>
    </row>
    <row r="15">
      <c r="F15" s="1" t="s">
        <v>13</v>
      </c>
      <c r="G15" s="1" t="s">
        <v>15</v>
      </c>
    </row>
    <row r="16">
      <c r="F16" s="1" t="s">
        <v>16</v>
      </c>
      <c r="G16" s="1" t="s">
        <v>14</v>
      </c>
    </row>
    <row r="17">
      <c r="F17" s="1" t="s">
        <v>16</v>
      </c>
      <c r="G17" s="1" t="s">
        <v>15</v>
      </c>
    </row>
    <row r="18">
      <c r="F18" s="1" t="s">
        <v>16</v>
      </c>
      <c r="G18" s="1" t="s">
        <v>14</v>
      </c>
    </row>
    <row r="19">
      <c r="F19" s="1" t="s">
        <v>16</v>
      </c>
      <c r="G19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17</v>
      </c>
      <c r="B2" s="3">
        <v>0.0</v>
      </c>
      <c r="C2" s="3">
        <v>1.0</v>
      </c>
      <c r="D2" s="3">
        <v>2.0</v>
      </c>
      <c r="E2" s="3">
        <v>3.0</v>
      </c>
      <c r="F2" s="3">
        <v>4.0</v>
      </c>
      <c r="G2" s="3">
        <v>5.0</v>
      </c>
      <c r="H2" s="3">
        <v>6.0</v>
      </c>
    </row>
    <row r="3">
      <c r="A3" s="3" t="s">
        <v>18</v>
      </c>
      <c r="B3" s="3">
        <v>0.0</v>
      </c>
      <c r="C3" s="3">
        <v>10.0</v>
      </c>
      <c r="D3" s="3">
        <v>20.0</v>
      </c>
      <c r="E3" s="3">
        <v>30.0</v>
      </c>
      <c r="F3" s="3">
        <v>40.0</v>
      </c>
      <c r="G3" s="3">
        <v>50.0</v>
      </c>
      <c r="H3" s="3">
        <v>60.0</v>
      </c>
    </row>
    <row r="6">
      <c r="A6" s="2" t="s">
        <v>19</v>
      </c>
    </row>
    <row r="7">
      <c r="A7" s="1" t="s">
        <v>20</v>
      </c>
      <c r="B7" s="4"/>
      <c r="D7" s="5"/>
      <c r="E7" s="5"/>
      <c r="F7" s="5"/>
      <c r="G7" s="5"/>
      <c r="H7" s="5"/>
    </row>
    <row r="8">
      <c r="A8" s="3" t="s">
        <v>17</v>
      </c>
      <c r="B8" s="3">
        <v>0.0</v>
      </c>
      <c r="C8" s="3">
        <v>1.0</v>
      </c>
      <c r="D8" s="3">
        <v>2.0</v>
      </c>
      <c r="E8" s="3">
        <v>3.0</v>
      </c>
      <c r="F8" s="3">
        <v>4.0</v>
      </c>
      <c r="G8" s="3">
        <v>5.0</v>
      </c>
      <c r="H8" s="3">
        <v>6.0</v>
      </c>
    </row>
    <row r="9">
      <c r="A9" s="3" t="s">
        <v>18</v>
      </c>
      <c r="B9" s="3">
        <v>0.0</v>
      </c>
      <c r="C9" s="3">
        <v>10.0</v>
      </c>
      <c r="D9" s="6">
        <v>20.0</v>
      </c>
    </row>
    <row r="10">
      <c r="D10" s="3">
        <v>20.0</v>
      </c>
      <c r="E10" s="3">
        <v>30.0</v>
      </c>
      <c r="F10" s="6">
        <v>40.0</v>
      </c>
    </row>
    <row r="11">
      <c r="F11" s="3">
        <v>40.0</v>
      </c>
      <c r="G11" s="3">
        <v>50.0</v>
      </c>
      <c r="H11" s="6">
        <v>60.0</v>
      </c>
    </row>
    <row r="14">
      <c r="A14" s="1" t="s">
        <v>21</v>
      </c>
    </row>
    <row r="16">
      <c r="A16" s="3" t="s">
        <v>17</v>
      </c>
      <c r="B16" s="3">
        <v>0.0</v>
      </c>
      <c r="C16" s="3">
        <v>1.0</v>
      </c>
      <c r="D16" s="3">
        <v>2.0</v>
      </c>
      <c r="E16" s="3">
        <v>3.0</v>
      </c>
      <c r="F16" s="3">
        <v>4.0</v>
      </c>
      <c r="G16" s="3">
        <v>5.0</v>
      </c>
      <c r="H16" s="3">
        <v>6.0</v>
      </c>
    </row>
    <row r="17">
      <c r="A17" s="3" t="s">
        <v>18</v>
      </c>
      <c r="B17" s="3">
        <v>0.0</v>
      </c>
      <c r="C17" s="3">
        <v>10.0</v>
      </c>
      <c r="D17" s="6">
        <v>20.0</v>
      </c>
    </row>
    <row r="18">
      <c r="C18" s="3">
        <v>10.0</v>
      </c>
      <c r="D18" s="3">
        <v>20.0</v>
      </c>
      <c r="E18" s="6">
        <v>30.0</v>
      </c>
      <c r="F18" s="1"/>
    </row>
    <row r="19">
      <c r="D19" s="3">
        <v>20.0</v>
      </c>
      <c r="E19" s="3">
        <v>30.0</v>
      </c>
      <c r="F19" s="6">
        <v>40.0</v>
      </c>
      <c r="G19" s="1"/>
      <c r="H19" s="1"/>
    </row>
    <row r="20">
      <c r="E20" s="3">
        <v>30.0</v>
      </c>
      <c r="F20" s="3">
        <v>40.0</v>
      </c>
      <c r="G20" s="6">
        <v>50.0</v>
      </c>
    </row>
    <row r="21">
      <c r="F21" s="3">
        <v>40.0</v>
      </c>
      <c r="G21" s="3">
        <v>50.0</v>
      </c>
      <c r="H21" s="6">
        <v>60.0</v>
      </c>
    </row>
    <row r="24">
      <c r="A24" s="1">
        <v>0.0</v>
      </c>
      <c r="B24" s="1">
        <v>10.0</v>
      </c>
      <c r="C24" s="1">
        <v>20.0</v>
      </c>
    </row>
    <row r="25">
      <c r="A25" s="1">
        <v>20.0</v>
      </c>
      <c r="B25" s="1">
        <v>30.0</v>
      </c>
      <c r="C25" s="1">
        <v>40.0</v>
      </c>
    </row>
    <row r="26">
      <c r="A26" s="1">
        <v>40.0</v>
      </c>
      <c r="B26" s="1">
        <v>50.0</v>
      </c>
      <c r="C26" s="1">
        <v>60.0</v>
      </c>
    </row>
    <row r="27">
      <c r="A27" s="1">
        <v>60.0</v>
      </c>
      <c r="B27" s="1">
        <v>70.0</v>
      </c>
      <c r="C27" s="1">
        <v>80.0</v>
      </c>
    </row>
  </sheetData>
  <mergeCells count="1">
    <mergeCell ref="B7:C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3" width="21.25"/>
    <col customWidth="1" min="6" max="6" width="20.13"/>
    <col customWidth="1" min="7" max="7" width="81.63"/>
    <col customWidth="1" min="8" max="8" width="20.0"/>
    <col customWidth="1" min="10" max="10" width="50.75"/>
    <col customWidth="1" min="13" max="13" width="15.13"/>
  </cols>
  <sheetData>
    <row r="1">
      <c r="A1" s="7" t="s">
        <v>22</v>
      </c>
      <c r="B1" s="3" t="s">
        <v>23</v>
      </c>
      <c r="C1" s="3" t="s">
        <v>24</v>
      </c>
      <c r="D1" s="3" t="s">
        <v>25</v>
      </c>
      <c r="E1" s="1" t="s">
        <v>26</v>
      </c>
      <c r="F1" s="8"/>
      <c r="G1" s="3" t="s">
        <v>27</v>
      </c>
      <c r="J1" s="1" t="s">
        <v>28</v>
      </c>
    </row>
    <row r="2" hidden="1">
      <c r="A2" s="3" t="s">
        <v>29</v>
      </c>
      <c r="B2" s="3">
        <v>123.0</v>
      </c>
      <c r="C2" s="3">
        <v>34.0</v>
      </c>
      <c r="D2" s="3" t="s">
        <v>30</v>
      </c>
      <c r="F2" s="3" t="s">
        <v>31</v>
      </c>
      <c r="G2" s="3" t="s">
        <v>32</v>
      </c>
      <c r="J2" s="1" t="s">
        <v>33</v>
      </c>
    </row>
    <row r="3" hidden="1">
      <c r="A3" s="3" t="s">
        <v>15</v>
      </c>
      <c r="B3" s="3">
        <v>128.0</v>
      </c>
      <c r="C3" s="3">
        <v>56.0</v>
      </c>
      <c r="D3" s="3" t="s">
        <v>30</v>
      </c>
      <c r="F3" s="3" t="s">
        <v>34</v>
      </c>
      <c r="G3" s="3" t="s">
        <v>35</v>
      </c>
      <c r="J3" s="1" t="s">
        <v>36</v>
      </c>
    </row>
    <row r="4">
      <c r="A4" s="3" t="s">
        <v>29</v>
      </c>
      <c r="B4" s="3">
        <v>132.0</v>
      </c>
      <c r="C4" s="3">
        <v>34.0</v>
      </c>
      <c r="D4" s="3" t="s">
        <v>37</v>
      </c>
      <c r="F4" s="3" t="s">
        <v>38</v>
      </c>
      <c r="G4" s="3" t="s">
        <v>39</v>
      </c>
      <c r="J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</row>
    <row r="5" hidden="1">
      <c r="A5" s="3" t="s">
        <v>29</v>
      </c>
      <c r="B5" s="3">
        <v>134.0</v>
      </c>
      <c r="C5" s="3">
        <v>45.0</v>
      </c>
      <c r="D5" s="3" t="s">
        <v>30</v>
      </c>
      <c r="F5" s="3" t="s">
        <v>46</v>
      </c>
      <c r="G5" s="3" t="s">
        <v>47</v>
      </c>
      <c r="J5" s="1" t="s">
        <v>48</v>
      </c>
    </row>
    <row r="6">
      <c r="A6" s="3" t="s">
        <v>29</v>
      </c>
      <c r="B6" s="3">
        <v>154.0</v>
      </c>
      <c r="C6" s="3">
        <v>34.0</v>
      </c>
      <c r="D6" s="3" t="s">
        <v>37</v>
      </c>
      <c r="F6" s="3" t="s">
        <v>49</v>
      </c>
      <c r="G6" s="3" t="s">
        <v>50</v>
      </c>
    </row>
    <row r="7" hidden="1">
      <c r="A7" s="3" t="s">
        <v>15</v>
      </c>
      <c r="B7" s="3">
        <v>156.0</v>
      </c>
      <c r="C7" s="3">
        <v>75.0</v>
      </c>
      <c r="D7" s="3" t="s">
        <v>37</v>
      </c>
    </row>
    <row r="8" hidden="1">
      <c r="A8" s="3" t="s">
        <v>15</v>
      </c>
      <c r="B8" s="3">
        <v>160.0</v>
      </c>
      <c r="C8" s="3">
        <v>34.0</v>
      </c>
      <c r="D8" s="3" t="s">
        <v>51</v>
      </c>
      <c r="J8" s="1" t="s">
        <v>52</v>
      </c>
    </row>
    <row r="9" hidden="1">
      <c r="A9" s="3" t="s">
        <v>29</v>
      </c>
      <c r="B9" s="3">
        <v>163.0</v>
      </c>
      <c r="C9" s="3">
        <v>67.0</v>
      </c>
      <c r="D9" s="3" t="s">
        <v>51</v>
      </c>
      <c r="F9" s="8"/>
      <c r="G9" s="3" t="s">
        <v>53</v>
      </c>
      <c r="J9" s="1" t="s">
        <v>54</v>
      </c>
    </row>
    <row r="10">
      <c r="A10" s="3" t="s">
        <v>29</v>
      </c>
      <c r="B10" s="3">
        <v>170.0</v>
      </c>
      <c r="C10" s="3">
        <v>63.0</v>
      </c>
      <c r="D10" s="3" t="s">
        <v>37</v>
      </c>
      <c r="F10" s="3" t="s">
        <v>31</v>
      </c>
      <c r="G10" s="3" t="s">
        <v>32</v>
      </c>
      <c r="J10" s="1" t="s">
        <v>55</v>
      </c>
    </row>
    <row r="11" hidden="1">
      <c r="A11" s="3" t="s">
        <v>29</v>
      </c>
      <c r="B11" s="3">
        <v>171.0</v>
      </c>
      <c r="C11" s="3">
        <v>34.0</v>
      </c>
      <c r="D11" s="3" t="s">
        <v>51</v>
      </c>
      <c r="F11" s="3" t="s">
        <v>34</v>
      </c>
      <c r="G11" s="3" t="s">
        <v>56</v>
      </c>
      <c r="J11" s="1" t="s">
        <v>57</v>
      </c>
    </row>
    <row r="12" hidden="1">
      <c r="A12" s="3" t="s">
        <v>15</v>
      </c>
      <c r="B12" s="3">
        <v>176.0</v>
      </c>
      <c r="C12" s="3">
        <v>56.0</v>
      </c>
      <c r="D12" s="3" t="s">
        <v>51</v>
      </c>
      <c r="F12" s="3" t="s">
        <v>38</v>
      </c>
      <c r="G12" s="3" t="s">
        <v>58</v>
      </c>
      <c r="J12" s="1" t="s">
        <v>59</v>
      </c>
    </row>
    <row r="13" hidden="1">
      <c r="F13" s="3" t="s">
        <v>46</v>
      </c>
      <c r="G13" s="3" t="s">
        <v>47</v>
      </c>
    </row>
    <row r="14" hidden="1">
      <c r="F14" s="3" t="s">
        <v>49</v>
      </c>
      <c r="G14" s="3" t="s">
        <v>50</v>
      </c>
      <c r="M14" s="1" t="s">
        <v>60</v>
      </c>
      <c r="N14" s="1" t="s">
        <v>61</v>
      </c>
      <c r="O14" s="1" t="s">
        <v>62</v>
      </c>
      <c r="P14" s="1" t="s">
        <v>63</v>
      </c>
    </row>
    <row r="15">
      <c r="J15" s="1" t="s">
        <v>64</v>
      </c>
      <c r="K15" s="9">
        <f>7/10</f>
        <v>0.7</v>
      </c>
      <c r="L15" s="1" t="s">
        <v>65</v>
      </c>
      <c r="M15" s="1" t="s">
        <v>29</v>
      </c>
      <c r="N15" s="1">
        <v>2.0</v>
      </c>
      <c r="O15" s="1">
        <v>3.0</v>
      </c>
      <c r="P15" s="1">
        <v>2.0</v>
      </c>
    </row>
    <row r="16">
      <c r="J16" s="1" t="s">
        <v>66</v>
      </c>
      <c r="K16" s="9">
        <f>3/10</f>
        <v>0.3</v>
      </c>
      <c r="M16" s="1" t="s">
        <v>15</v>
      </c>
      <c r="N16" s="1">
        <v>1.0</v>
      </c>
      <c r="O16" s="1">
        <v>1.0</v>
      </c>
      <c r="P16" s="1">
        <v>2.0</v>
      </c>
    </row>
    <row r="17">
      <c r="F17" s="8"/>
      <c r="G17" s="3" t="s">
        <v>67</v>
      </c>
    </row>
    <row r="18">
      <c r="A18" s="3" t="s">
        <v>68</v>
      </c>
      <c r="B18" s="3" t="s">
        <v>69</v>
      </c>
      <c r="C18" s="3" t="s">
        <v>70</v>
      </c>
      <c r="D18" s="3" t="s">
        <v>71</v>
      </c>
      <c r="F18" s="3" t="s">
        <v>31</v>
      </c>
      <c r="G18" s="3" t="s">
        <v>32</v>
      </c>
    </row>
    <row r="19">
      <c r="A19" s="3" t="s">
        <v>72</v>
      </c>
      <c r="B19" s="3">
        <v>34.0</v>
      </c>
      <c r="C19" s="3">
        <v>30.0</v>
      </c>
      <c r="D19" s="8">
        <f t="shared" ref="D19:D25" si="1">B19-C19</f>
        <v>4</v>
      </c>
      <c r="F19" s="3" t="s">
        <v>34</v>
      </c>
      <c r="G19" s="3" t="s">
        <v>73</v>
      </c>
    </row>
    <row r="20">
      <c r="A20" s="3" t="s">
        <v>74</v>
      </c>
      <c r="B20" s="3">
        <v>56.0</v>
      </c>
      <c r="C20" s="3">
        <v>55.0</v>
      </c>
      <c r="D20" s="8">
        <f t="shared" si="1"/>
        <v>1</v>
      </c>
      <c r="F20" s="3" t="s">
        <v>38</v>
      </c>
      <c r="G20" s="3" t="s">
        <v>75</v>
      </c>
    </row>
    <row r="21">
      <c r="A21" s="3" t="s">
        <v>76</v>
      </c>
      <c r="B21" s="3">
        <v>34.0</v>
      </c>
      <c r="C21" s="3">
        <v>32.0</v>
      </c>
      <c r="D21" s="8">
        <f t="shared" si="1"/>
        <v>2</v>
      </c>
      <c r="F21" s="3" t="s">
        <v>46</v>
      </c>
      <c r="G21" s="3" t="s">
        <v>47</v>
      </c>
    </row>
    <row r="22">
      <c r="A22" s="3" t="s">
        <v>77</v>
      </c>
      <c r="B22" s="3">
        <v>45.0</v>
      </c>
      <c r="C22" s="3">
        <v>44.0</v>
      </c>
      <c r="D22" s="8">
        <f t="shared" si="1"/>
        <v>1</v>
      </c>
      <c r="F22" s="3" t="s">
        <v>49</v>
      </c>
      <c r="G22" s="3" t="s">
        <v>50</v>
      </c>
    </row>
    <row r="23">
      <c r="A23" s="3" t="s">
        <v>78</v>
      </c>
      <c r="B23" s="3">
        <v>34.0</v>
      </c>
      <c r="C23" s="3">
        <v>37.0</v>
      </c>
      <c r="D23" s="8">
        <f t="shared" si="1"/>
        <v>-3</v>
      </c>
    </row>
    <row r="24">
      <c r="A24" s="3" t="s">
        <v>79</v>
      </c>
      <c r="B24" s="3">
        <v>75.0</v>
      </c>
      <c r="C24" s="3">
        <v>68.0</v>
      </c>
      <c r="D24" s="8">
        <f t="shared" si="1"/>
        <v>7</v>
      </c>
      <c r="F24" s="8"/>
      <c r="G24" s="3" t="s">
        <v>80</v>
      </c>
    </row>
    <row r="25">
      <c r="A25" s="3" t="s">
        <v>81</v>
      </c>
      <c r="B25" s="3">
        <v>34.0</v>
      </c>
      <c r="C25" s="3">
        <v>30.0</v>
      </c>
      <c r="D25" s="8">
        <f t="shared" si="1"/>
        <v>4</v>
      </c>
      <c r="F25" s="3" t="s">
        <v>31</v>
      </c>
      <c r="G25" s="3" t="s">
        <v>82</v>
      </c>
    </row>
    <row r="26">
      <c r="F26" s="3" t="s">
        <v>34</v>
      </c>
      <c r="G26" s="3" t="s">
        <v>83</v>
      </c>
    </row>
    <row r="27">
      <c r="F27" s="3" t="s">
        <v>38</v>
      </c>
      <c r="G27" s="3" t="s">
        <v>84</v>
      </c>
    </row>
    <row r="28">
      <c r="F28" s="3" t="s">
        <v>85</v>
      </c>
      <c r="G28" s="3" t="s">
        <v>86</v>
      </c>
    </row>
    <row r="29">
      <c r="F29" s="3" t="s">
        <v>49</v>
      </c>
      <c r="G29" s="3" t="s">
        <v>87</v>
      </c>
    </row>
    <row r="32">
      <c r="F32" s="8"/>
      <c r="G32" s="3" t="s">
        <v>88</v>
      </c>
    </row>
    <row r="33">
      <c r="F33" s="3" t="s">
        <v>31</v>
      </c>
      <c r="G33" s="3" t="s">
        <v>89</v>
      </c>
    </row>
    <row r="34">
      <c r="F34" s="3" t="s">
        <v>34</v>
      </c>
      <c r="G34" s="3" t="s">
        <v>90</v>
      </c>
    </row>
    <row r="35">
      <c r="F35" s="3" t="s">
        <v>38</v>
      </c>
      <c r="G35" s="3" t="s">
        <v>91</v>
      </c>
    </row>
    <row r="36">
      <c r="F36" s="3" t="s">
        <v>46</v>
      </c>
      <c r="G36" s="3" t="s">
        <v>47</v>
      </c>
    </row>
    <row r="37">
      <c r="F37" s="3" t="s">
        <v>49</v>
      </c>
      <c r="G37" s="3" t="s">
        <v>50</v>
      </c>
    </row>
    <row r="40">
      <c r="F40" s="8"/>
      <c r="G40" s="3" t="s">
        <v>92</v>
      </c>
    </row>
    <row r="41">
      <c r="F41" s="3" t="s">
        <v>31</v>
      </c>
      <c r="G41" s="3" t="s">
        <v>93</v>
      </c>
    </row>
    <row r="42">
      <c r="F42" s="3" t="s">
        <v>34</v>
      </c>
      <c r="G42" s="3" t="s">
        <v>94</v>
      </c>
    </row>
    <row r="43">
      <c r="F43" s="3" t="s">
        <v>38</v>
      </c>
      <c r="G43" s="3" t="s">
        <v>95</v>
      </c>
    </row>
    <row r="44">
      <c r="F44" s="3" t="s">
        <v>46</v>
      </c>
      <c r="G44" s="3" t="s">
        <v>47</v>
      </c>
    </row>
    <row r="45">
      <c r="F45" s="3" t="s">
        <v>49</v>
      </c>
      <c r="G45" s="3" t="s">
        <v>50</v>
      </c>
    </row>
    <row r="48">
      <c r="F48" s="8"/>
      <c r="G48" s="3" t="s">
        <v>96</v>
      </c>
    </row>
    <row r="49">
      <c r="F49" s="3" t="s">
        <v>31</v>
      </c>
      <c r="G49" s="3" t="s">
        <v>97</v>
      </c>
    </row>
    <row r="50">
      <c r="F50" s="3" t="s">
        <v>34</v>
      </c>
      <c r="G50" s="3" t="s">
        <v>98</v>
      </c>
    </row>
    <row r="51">
      <c r="F51" s="3" t="s">
        <v>38</v>
      </c>
      <c r="G51" s="3" t="s">
        <v>99</v>
      </c>
    </row>
    <row r="52">
      <c r="F52" s="3" t="s">
        <v>100</v>
      </c>
      <c r="G52" s="3" t="s">
        <v>101</v>
      </c>
    </row>
    <row r="53">
      <c r="F53" s="3" t="s">
        <v>49</v>
      </c>
      <c r="G53" s="3" t="s">
        <v>102</v>
      </c>
    </row>
  </sheetData>
  <autoFilter ref="$A$1:$G$14">
    <filterColumn colId="0">
      <filters>
        <filter val="M"/>
      </filters>
    </filterColumn>
    <filterColumn colId="3">
      <filters blank="1">
        <filter val="teen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3.25"/>
    <col customWidth="1" min="15" max="15" width="3.63"/>
    <col customWidth="1" min="16" max="16" width="3.25"/>
    <col customWidth="1" min="17" max="17" width="3.88"/>
  </cols>
  <sheetData>
    <row r="2">
      <c r="A2" s="1">
        <v>0.0</v>
      </c>
      <c r="B2" s="1">
        <v>0.0</v>
      </c>
    </row>
    <row r="3">
      <c r="A3" s="1">
        <v>255.0</v>
      </c>
      <c r="B3" s="1">
        <v>1.0</v>
      </c>
      <c r="L3" s="1" t="s">
        <v>103</v>
      </c>
    </row>
    <row r="4">
      <c r="F4" s="1">
        <v>0.0</v>
      </c>
      <c r="G4" s="1">
        <v>1.0</v>
      </c>
    </row>
    <row r="5">
      <c r="C5" s="10"/>
      <c r="D5" s="10"/>
      <c r="E5" s="1">
        <v>0.0</v>
      </c>
      <c r="F5" s="3">
        <v>0.0</v>
      </c>
      <c r="G5" s="3">
        <v>0.0</v>
      </c>
      <c r="I5" s="11"/>
      <c r="J5" s="12"/>
      <c r="L5" s="3" t="s">
        <v>104</v>
      </c>
      <c r="M5" s="13" t="s">
        <v>105</v>
      </c>
    </row>
    <row r="6">
      <c r="C6" s="10"/>
      <c r="D6" s="10"/>
      <c r="E6" s="1">
        <v>1.0</v>
      </c>
      <c r="F6" s="3">
        <v>0.0</v>
      </c>
      <c r="G6" s="3">
        <v>0.0</v>
      </c>
      <c r="I6" s="14"/>
      <c r="J6" s="15"/>
      <c r="L6" s="3" t="s">
        <v>106</v>
      </c>
      <c r="M6" s="3" t="s">
        <v>107</v>
      </c>
    </row>
    <row r="7">
      <c r="I7" s="16"/>
      <c r="J7" s="8"/>
      <c r="L7" s="3" t="s">
        <v>108</v>
      </c>
      <c r="M7" s="13" t="s">
        <v>105</v>
      </c>
    </row>
    <row r="8">
      <c r="C8" s="14"/>
      <c r="D8" s="8"/>
      <c r="F8" s="3">
        <v>0.0</v>
      </c>
      <c r="G8" s="3">
        <v>1.0</v>
      </c>
    </row>
    <row r="9">
      <c r="C9" s="8"/>
      <c r="D9" s="14"/>
      <c r="F9" s="3">
        <v>1.0</v>
      </c>
      <c r="G9" s="3">
        <v>0.0</v>
      </c>
    </row>
    <row r="11">
      <c r="C11" s="8"/>
      <c r="D11" s="8"/>
      <c r="F11" s="3">
        <v>1.0</v>
      </c>
      <c r="G11" s="3">
        <v>1.0</v>
      </c>
      <c r="K11" s="1" t="s">
        <v>109</v>
      </c>
    </row>
    <row r="12">
      <c r="C12" s="8"/>
      <c r="D12" s="8"/>
      <c r="F12" s="3">
        <v>1.0</v>
      </c>
      <c r="G12" s="3">
        <v>1.0</v>
      </c>
    </row>
    <row r="15">
      <c r="C15" s="12"/>
      <c r="D15" s="14"/>
    </row>
    <row r="16">
      <c r="C16" s="14"/>
      <c r="D16" s="12"/>
    </row>
    <row r="18">
      <c r="N18" s="17"/>
      <c r="O18" s="17"/>
      <c r="P18" s="17"/>
      <c r="Q18" s="17"/>
    </row>
    <row r="19">
      <c r="C19" s="14"/>
      <c r="D19" s="14"/>
      <c r="N19" s="18">
        <v>0.0</v>
      </c>
      <c r="O19" s="18">
        <v>1.0</v>
      </c>
      <c r="P19" s="18">
        <v>2.0</v>
      </c>
      <c r="Q19" s="18">
        <v>3.0</v>
      </c>
    </row>
    <row r="20">
      <c r="C20" s="8"/>
      <c r="D20" s="8"/>
      <c r="M20" s="1">
        <v>0.0</v>
      </c>
      <c r="N20" s="19"/>
      <c r="O20" s="19"/>
      <c r="P20" s="19"/>
      <c r="Q20" s="19"/>
      <c r="S20" s="20">
        <v>1.0</v>
      </c>
      <c r="T20" s="20">
        <v>1.0</v>
      </c>
      <c r="U20" s="20">
        <v>1.0</v>
      </c>
      <c r="V20" s="20">
        <v>1.0</v>
      </c>
    </row>
    <row r="21">
      <c r="M21" s="1">
        <v>1.0</v>
      </c>
      <c r="N21" s="19"/>
      <c r="O21" s="21"/>
      <c r="P21" s="21"/>
      <c r="Q21" s="19"/>
      <c r="S21" s="20">
        <v>1.0</v>
      </c>
      <c r="T21" s="20">
        <v>0.0</v>
      </c>
      <c r="U21" s="20">
        <v>0.0</v>
      </c>
      <c r="V21" s="20">
        <v>1.0</v>
      </c>
    </row>
    <row r="22">
      <c r="C22" s="8"/>
      <c r="D22" s="8"/>
      <c r="F22" s="8"/>
      <c r="G22" s="22"/>
      <c r="I22" s="3">
        <v>1.0</v>
      </c>
      <c r="J22" s="3" t="s">
        <v>110</v>
      </c>
      <c r="M22" s="1">
        <v>2.0</v>
      </c>
      <c r="N22" s="19"/>
      <c r="O22" s="19"/>
      <c r="P22" s="21"/>
      <c r="Q22" s="19"/>
      <c r="S22" s="20">
        <v>1.0</v>
      </c>
      <c r="T22" s="20">
        <v>1.0</v>
      </c>
      <c r="U22" s="20">
        <v>0.0</v>
      </c>
      <c r="V22" s="20">
        <v>1.0</v>
      </c>
    </row>
    <row r="23">
      <c r="C23" s="14"/>
      <c r="D23" s="14"/>
      <c r="F23" s="14"/>
      <c r="G23" s="22"/>
      <c r="I23" s="3">
        <v>0.0</v>
      </c>
      <c r="J23" s="3" t="s">
        <v>110</v>
      </c>
      <c r="M23" s="1">
        <v>3.0</v>
      </c>
      <c r="N23" s="19"/>
      <c r="O23" s="21"/>
      <c r="P23" s="21"/>
      <c r="Q23" s="19"/>
      <c r="S23" s="20">
        <v>1.0</v>
      </c>
      <c r="T23" s="20">
        <v>0.0</v>
      </c>
      <c r="U23" s="20">
        <v>0.0</v>
      </c>
      <c r="V23" s="20">
        <v>1.0</v>
      </c>
    </row>
    <row r="24">
      <c r="M24" s="1">
        <v>4.0</v>
      </c>
      <c r="N24" s="19"/>
      <c r="O24" s="21"/>
      <c r="P24" s="19"/>
      <c r="Q24" s="19"/>
      <c r="S24" s="20">
        <v>1.0</v>
      </c>
      <c r="T24" s="20">
        <v>0.0</v>
      </c>
      <c r="U24" s="20">
        <v>1.0</v>
      </c>
      <c r="V24" s="20">
        <v>1.0</v>
      </c>
    </row>
    <row r="25">
      <c r="C25" s="14"/>
      <c r="D25" s="8"/>
      <c r="M25" s="1">
        <v>5.0</v>
      </c>
      <c r="N25" s="19"/>
      <c r="O25" s="21"/>
      <c r="P25" s="21"/>
      <c r="Q25" s="19"/>
      <c r="S25" s="20">
        <v>1.0</v>
      </c>
      <c r="T25" s="20">
        <v>0.0</v>
      </c>
      <c r="U25" s="20">
        <v>0.0</v>
      </c>
      <c r="V25" s="20">
        <v>1.0</v>
      </c>
    </row>
    <row r="26">
      <c r="C26" s="14"/>
      <c r="D26" s="8"/>
      <c r="F26" s="14"/>
      <c r="G26" s="22"/>
      <c r="I26" s="3">
        <v>0.0</v>
      </c>
      <c r="J26" s="3" t="s">
        <v>110</v>
      </c>
      <c r="M26" s="1">
        <v>6.0</v>
      </c>
      <c r="N26" s="19"/>
      <c r="O26" s="19"/>
      <c r="P26" s="19"/>
      <c r="Q26" s="19"/>
      <c r="S26" s="20">
        <v>1.0</v>
      </c>
      <c r="T26" s="20">
        <v>1.0</v>
      </c>
      <c r="U26" s="20">
        <v>1.0</v>
      </c>
      <c r="V26" s="20">
        <v>1.0</v>
      </c>
    </row>
    <row r="27">
      <c r="F27" s="12"/>
      <c r="G27" s="22"/>
      <c r="I27" s="3">
        <v>1.0</v>
      </c>
      <c r="J27" s="3" t="s">
        <v>110</v>
      </c>
      <c r="N27" s="17"/>
      <c r="O27" s="17"/>
      <c r="P27" s="17"/>
      <c r="Q27" s="17"/>
    </row>
    <row r="28">
      <c r="C28" s="8"/>
      <c r="D28" s="14"/>
      <c r="N28" s="17"/>
      <c r="O28" s="17"/>
      <c r="P28" s="17"/>
      <c r="Q28" s="17"/>
    </row>
    <row r="29">
      <c r="C29" s="8"/>
      <c r="D29" s="14"/>
      <c r="N29" s="17"/>
      <c r="O29" s="17"/>
      <c r="P29" s="17"/>
      <c r="Q29" s="17"/>
    </row>
    <row r="30">
      <c r="I30" s="3">
        <v>1.0</v>
      </c>
      <c r="J30" s="3" t="s">
        <v>110</v>
      </c>
      <c r="N30" s="17"/>
      <c r="O30" s="17"/>
      <c r="P30" s="17"/>
      <c r="Q30" s="17"/>
      <c r="S30" s="20">
        <v>1.0</v>
      </c>
      <c r="T30" s="20">
        <v>1.0</v>
      </c>
      <c r="U30" s="20">
        <v>1.0</v>
      </c>
      <c r="V30" s="20">
        <v>1.0</v>
      </c>
      <c r="X30" s="3">
        <v>1.0</v>
      </c>
      <c r="Y30" s="3">
        <v>1.0</v>
      </c>
    </row>
    <row r="31">
      <c r="I31" s="3">
        <v>1.0</v>
      </c>
      <c r="J31" s="3" t="s">
        <v>110</v>
      </c>
      <c r="S31" s="20">
        <v>1.0</v>
      </c>
      <c r="T31" s="20">
        <v>0.0</v>
      </c>
      <c r="U31" s="20">
        <v>0.0</v>
      </c>
      <c r="V31" s="20">
        <v>1.0</v>
      </c>
      <c r="X31" s="3">
        <v>1.0</v>
      </c>
      <c r="Y31" s="3">
        <v>1.0</v>
      </c>
    </row>
    <row r="32">
      <c r="S32" s="20">
        <v>1.0</v>
      </c>
      <c r="T32" s="20">
        <v>1.0</v>
      </c>
      <c r="U32" s="20">
        <v>1.0</v>
      </c>
      <c r="V32" s="20">
        <v>1.0</v>
      </c>
      <c r="X32" s="3">
        <v>1.0</v>
      </c>
      <c r="Y32" s="3">
        <v>1.0</v>
      </c>
    </row>
    <row r="33">
      <c r="I33" s="8"/>
      <c r="J33" s="22"/>
      <c r="S33" s="20">
        <v>1.0</v>
      </c>
      <c r="T33" s="20">
        <v>1.0</v>
      </c>
      <c r="U33" s="20">
        <v>1.0</v>
      </c>
      <c r="V33" s="20">
        <v>1.0</v>
      </c>
      <c r="X33" s="3">
        <v>1.0</v>
      </c>
      <c r="Y33" s="3">
        <v>1.0</v>
      </c>
    </row>
    <row r="34">
      <c r="I34" s="8"/>
      <c r="J34" s="22"/>
      <c r="S34" s="20">
        <v>1.0</v>
      </c>
      <c r="T34" s="20">
        <v>1.0</v>
      </c>
      <c r="U34" s="20">
        <v>1.0</v>
      </c>
      <c r="V34" s="20">
        <v>1.0</v>
      </c>
    </row>
    <row r="35">
      <c r="S35" s="20">
        <v>1.0</v>
      </c>
      <c r="T35" s="20">
        <v>1.0</v>
      </c>
      <c r="U35" s="20">
        <v>1.0</v>
      </c>
      <c r="V35" s="20">
        <v>1.0</v>
      </c>
    </row>
    <row r="36">
      <c r="S36" s="20">
        <v>1.0</v>
      </c>
      <c r="T36" s="20">
        <v>1.0</v>
      </c>
      <c r="U36" s="20">
        <v>1.0</v>
      </c>
      <c r="V36" s="20">
        <v>1.0</v>
      </c>
      <c r="X36" s="3">
        <v>1.0</v>
      </c>
    </row>
    <row r="37">
      <c r="X37" s="3">
        <v>1.0</v>
      </c>
    </row>
    <row r="38">
      <c r="X38" s="3">
        <v>1.0</v>
      </c>
    </row>
    <row r="39">
      <c r="S39" s="20">
        <v>1.0</v>
      </c>
      <c r="T39" s="20">
        <v>1.0</v>
      </c>
      <c r="U39" s="20">
        <v>1.0</v>
      </c>
      <c r="V39" s="20">
        <v>1.0</v>
      </c>
      <c r="X39" s="3">
        <v>1.0</v>
      </c>
    </row>
    <row r="40">
      <c r="S40" s="20">
        <v>1.0</v>
      </c>
      <c r="T40" s="20">
        <v>1.0</v>
      </c>
      <c r="U40" s="20">
        <v>1.0</v>
      </c>
      <c r="V40" s="20">
        <v>1.0</v>
      </c>
      <c r="X40" s="3">
        <v>1.0</v>
      </c>
    </row>
    <row r="41">
      <c r="S41" s="20">
        <v>1.0</v>
      </c>
      <c r="T41" s="20">
        <v>1.0</v>
      </c>
      <c r="U41" s="20">
        <v>0.0</v>
      </c>
      <c r="V41" s="20">
        <v>1.0</v>
      </c>
      <c r="X41" s="3">
        <v>1.0</v>
      </c>
    </row>
    <row r="42">
      <c r="S42" s="20">
        <v>1.0</v>
      </c>
      <c r="T42" s="20">
        <v>1.0</v>
      </c>
      <c r="U42" s="20">
        <v>0.0</v>
      </c>
      <c r="V42" s="20">
        <v>1.0</v>
      </c>
      <c r="X42" s="3">
        <v>1.0</v>
      </c>
    </row>
    <row r="43">
      <c r="S43" s="20">
        <v>1.0</v>
      </c>
      <c r="T43" s="20">
        <v>1.0</v>
      </c>
      <c r="U43" s="20">
        <v>1.0</v>
      </c>
      <c r="V43" s="20">
        <v>1.0</v>
      </c>
      <c r="X43" s="3">
        <v>1.0</v>
      </c>
    </row>
    <row r="44">
      <c r="C44" s="8"/>
      <c r="D44" s="8"/>
      <c r="E44" s="8"/>
      <c r="F44" s="8"/>
      <c r="S44" s="20">
        <v>1.0</v>
      </c>
      <c r="T44" s="20">
        <v>1.0</v>
      </c>
      <c r="U44" s="20">
        <v>1.0</v>
      </c>
      <c r="V44" s="20">
        <v>1.0</v>
      </c>
    </row>
    <row r="45">
      <c r="C45" s="8"/>
      <c r="D45" s="8"/>
      <c r="E45" s="8"/>
      <c r="F45" s="8"/>
      <c r="S45" s="20">
        <v>1.0</v>
      </c>
      <c r="T45" s="20">
        <v>1.0</v>
      </c>
      <c r="U45" s="20">
        <v>1.0</v>
      </c>
      <c r="V45" s="20">
        <v>1.0</v>
      </c>
      <c r="X45" s="1" t="s">
        <v>111</v>
      </c>
    </row>
    <row r="46">
      <c r="C46" s="8"/>
      <c r="D46" s="8"/>
      <c r="E46" s="8"/>
      <c r="F46" s="8"/>
    </row>
    <row r="47">
      <c r="C47" s="8"/>
      <c r="D47" s="8"/>
      <c r="E47" s="8"/>
      <c r="F47" s="8"/>
    </row>
    <row r="48">
      <c r="C48" s="8"/>
      <c r="D48" s="8"/>
      <c r="E48" s="8"/>
      <c r="F48" s="8"/>
    </row>
    <row r="49">
      <c r="C49" s="8"/>
      <c r="D49" s="8"/>
      <c r="E49" s="8"/>
      <c r="F49" s="8"/>
    </row>
    <row r="50">
      <c r="C50" s="8"/>
      <c r="D50" s="8"/>
      <c r="E50" s="8"/>
      <c r="F50" s="8"/>
    </row>
    <row r="59">
      <c r="C59" s="1" t="s">
        <v>112</v>
      </c>
      <c r="D59" s="3" t="s">
        <v>113</v>
      </c>
      <c r="E59" s="23" t="s">
        <v>114</v>
      </c>
    </row>
    <row r="62">
      <c r="C62" s="1" t="s">
        <v>115</v>
      </c>
    </row>
    <row r="64">
      <c r="A64" s="1" t="s">
        <v>116</v>
      </c>
      <c r="F64" s="1" t="s">
        <v>117</v>
      </c>
      <c r="K64" s="1" t="s">
        <v>118</v>
      </c>
      <c r="R64" s="1" t="s">
        <v>119</v>
      </c>
    </row>
    <row r="66">
      <c r="A66" s="3">
        <v>0.9</v>
      </c>
      <c r="B66" s="3">
        <v>-0.1</v>
      </c>
      <c r="C66" s="3">
        <v>1.0</v>
      </c>
      <c r="D66" s="3">
        <v>0.8</v>
      </c>
      <c r="F66" s="6">
        <v>0.9</v>
      </c>
      <c r="G66" s="6">
        <v>0.0</v>
      </c>
      <c r="H66" s="24">
        <v>1.0</v>
      </c>
      <c r="I66" s="24">
        <v>0.8</v>
      </c>
      <c r="K66" s="3">
        <v>1.0</v>
      </c>
      <c r="L66" s="3">
        <v>1.0</v>
      </c>
      <c r="R66" s="3">
        <v>1.0</v>
      </c>
    </row>
    <row r="67">
      <c r="A67" s="3">
        <v>1.0</v>
      </c>
      <c r="B67" s="3">
        <v>0.8</v>
      </c>
      <c r="C67" s="3">
        <v>0.9</v>
      </c>
      <c r="D67" s="3">
        <v>-0.1</v>
      </c>
      <c r="F67" s="6">
        <v>1.0</v>
      </c>
      <c r="G67" s="6">
        <v>0.8</v>
      </c>
      <c r="H67" s="24">
        <v>0.9</v>
      </c>
      <c r="I67" s="24">
        <v>0.0</v>
      </c>
      <c r="K67" s="3">
        <v>1.0</v>
      </c>
      <c r="L67" s="3">
        <v>0.8</v>
      </c>
      <c r="R67" s="3">
        <v>1.0</v>
      </c>
    </row>
    <row r="68">
      <c r="A68" s="3">
        <v>0.4</v>
      </c>
      <c r="B68" s="3">
        <v>0.9</v>
      </c>
      <c r="C68" s="3">
        <v>-0.1</v>
      </c>
      <c r="D68" s="3">
        <v>0.6</v>
      </c>
      <c r="F68" s="24">
        <v>0.4</v>
      </c>
      <c r="G68" s="24">
        <v>0.9</v>
      </c>
      <c r="H68" s="6">
        <v>0.0</v>
      </c>
      <c r="I68" s="6">
        <v>0.6</v>
      </c>
      <c r="K68" s="3">
        <v>0.9</v>
      </c>
      <c r="L68" s="3">
        <v>0.8</v>
      </c>
      <c r="R68" s="3">
        <v>0.9</v>
      </c>
    </row>
    <row r="69">
      <c r="A69" s="3">
        <v>0.5</v>
      </c>
      <c r="B69" s="3">
        <v>1.0</v>
      </c>
      <c r="C69" s="3">
        <v>0.8</v>
      </c>
      <c r="D69" s="3">
        <v>0.2</v>
      </c>
      <c r="F69" s="24">
        <v>0.5</v>
      </c>
      <c r="G69" s="24">
        <v>1.0</v>
      </c>
      <c r="H69" s="6">
        <v>0.8</v>
      </c>
      <c r="I69" s="6">
        <v>0.2</v>
      </c>
      <c r="R69" s="3">
        <v>1.0</v>
      </c>
    </row>
    <row r="70">
      <c r="A70" s="3">
        <v>0.24</v>
      </c>
      <c r="B70" s="3">
        <v>0.9</v>
      </c>
      <c r="C70" s="3">
        <v>-0.1</v>
      </c>
      <c r="D70" s="3">
        <v>0.55</v>
      </c>
      <c r="F70" s="6">
        <v>0.24</v>
      </c>
      <c r="G70" s="6">
        <v>0.9</v>
      </c>
      <c r="H70" s="24">
        <v>0.0</v>
      </c>
      <c r="I70" s="24">
        <v>0.55</v>
      </c>
      <c r="R70" s="3">
        <v>0.8</v>
      </c>
    </row>
    <row r="71">
      <c r="A71" s="3">
        <v>0.67</v>
      </c>
      <c r="B71" s="3">
        <v>-0.56</v>
      </c>
      <c r="C71" s="3">
        <v>1.0</v>
      </c>
      <c r="D71" s="3">
        <v>0.8</v>
      </c>
      <c r="F71" s="6">
        <v>0.67</v>
      </c>
      <c r="G71" s="6">
        <v>0.0</v>
      </c>
      <c r="H71" s="24">
        <v>1.0</v>
      </c>
      <c r="I71" s="24">
        <v>0.8</v>
      </c>
      <c r="R71" s="3">
        <v>0.8</v>
      </c>
    </row>
    <row r="73">
      <c r="R73" s="1" t="s">
        <v>120</v>
      </c>
    </row>
    <row r="74">
      <c r="A74" s="1" t="s">
        <v>121</v>
      </c>
      <c r="K74" s="1" t="s">
        <v>122</v>
      </c>
    </row>
    <row r="76">
      <c r="A76" s="1" t="s">
        <v>123</v>
      </c>
      <c r="K76" s="1" t="s">
        <v>124</v>
      </c>
    </row>
    <row r="78">
      <c r="A78" s="1" t="s">
        <v>125</v>
      </c>
      <c r="B78" s="1" t="s">
        <v>126</v>
      </c>
      <c r="K78" s="3">
        <v>0.675</v>
      </c>
      <c r="L78" s="3">
        <v>0.675</v>
      </c>
      <c r="R78" s="3">
        <v>0.675</v>
      </c>
    </row>
    <row r="79">
      <c r="B79" s="1" t="s">
        <v>127</v>
      </c>
      <c r="C79" s="1" t="s">
        <v>128</v>
      </c>
      <c r="F79" s="25"/>
      <c r="G79" s="25"/>
      <c r="K79" s="3">
        <v>0.7</v>
      </c>
      <c r="L79" s="3">
        <v>0.4</v>
      </c>
      <c r="R79" s="3">
        <v>0.7</v>
      </c>
    </row>
    <row r="80">
      <c r="B80" s="1" t="s">
        <v>129</v>
      </c>
      <c r="C80" s="1" t="s">
        <v>130</v>
      </c>
      <c r="E80" s="1" t="s">
        <v>131</v>
      </c>
      <c r="F80" s="25"/>
      <c r="G80" s="25"/>
      <c r="K80" s="3">
        <v>0.45</v>
      </c>
      <c r="L80" s="3">
        <v>0.5875</v>
      </c>
      <c r="R80" s="3">
        <v>0.45</v>
      </c>
    </row>
    <row r="81">
      <c r="B81" s="1" t="s">
        <v>132</v>
      </c>
      <c r="F81" s="25"/>
      <c r="G81" s="25"/>
      <c r="R81" s="3">
        <v>0.675</v>
      </c>
    </row>
    <row r="82">
      <c r="F82" s="25"/>
      <c r="G82" s="25"/>
      <c r="R82" s="3">
        <v>0.4</v>
      </c>
    </row>
    <row r="83">
      <c r="F83" s="25"/>
      <c r="G83" s="25"/>
      <c r="R83" s="3">
        <v>0.5875</v>
      </c>
    </row>
    <row r="84">
      <c r="F84" s="25"/>
      <c r="G84" s="25"/>
    </row>
    <row r="89">
      <c r="E89" s="1">
        <f>8*4</f>
        <v>32</v>
      </c>
      <c r="G89" s="9">
        <f>6*2</f>
        <v>12</v>
      </c>
    </row>
    <row r="97">
      <c r="A97" s="1" t="s">
        <v>133</v>
      </c>
      <c r="D97" s="1" t="s">
        <v>134</v>
      </c>
    </row>
    <row r="110">
      <c r="H110" s="1" t="s">
        <v>135</v>
      </c>
    </row>
    <row r="112">
      <c r="H112" s="1" t="s">
        <v>136</v>
      </c>
    </row>
    <row r="114">
      <c r="H114" s="1" t="s">
        <v>137</v>
      </c>
    </row>
    <row r="115">
      <c r="H115" s="1" t="s">
        <v>128</v>
      </c>
    </row>
    <row r="116">
      <c r="H116" s="1" t="s">
        <v>138</v>
      </c>
    </row>
    <row r="117">
      <c r="H117" s="1" t="s">
        <v>139</v>
      </c>
    </row>
    <row r="118">
      <c r="H118" s="1" t="s">
        <v>140</v>
      </c>
    </row>
  </sheetData>
  <conditionalFormatting sqref="N18:Q30 S20:V26 S30:V36 S39:V45">
    <cfRule type="cellIs" dxfId="0" priority="1" operator="equal">
      <formula>1</formula>
    </cfRule>
  </conditionalFormatting>
  <conditionalFormatting sqref="S20:V26 S30:V36 S39:V45">
    <cfRule type="colorScale" priority="2">
      <colorScale>
        <cfvo type="formula" val="0"/>
        <cfvo type="formula" val="1"/>
        <color rgb="FF000000"/>
        <color rgb="FFFFFFFF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</cols>
  <sheetData>
    <row r="2">
      <c r="A2" s="1" t="s">
        <v>141</v>
      </c>
    </row>
    <row r="3">
      <c r="B3" s="1" t="s">
        <v>142</v>
      </c>
    </row>
    <row r="6">
      <c r="A6" s="1" t="s">
        <v>143</v>
      </c>
      <c r="B6" s="3" t="s">
        <v>144</v>
      </c>
      <c r="D6" s="3" t="s">
        <v>145</v>
      </c>
      <c r="F6" s="3" t="s">
        <v>146</v>
      </c>
      <c r="H6" s="3" t="s">
        <v>147</v>
      </c>
      <c r="J6" s="3" t="s">
        <v>148</v>
      </c>
    </row>
    <row r="8">
      <c r="B8" s="1" t="s">
        <v>149</v>
      </c>
      <c r="D8" s="1" t="s">
        <v>150</v>
      </c>
      <c r="F8" s="1" t="s">
        <v>151</v>
      </c>
      <c r="H8" s="1" t="s">
        <v>152</v>
      </c>
      <c r="J8" s="1" t="s">
        <v>153</v>
      </c>
    </row>
    <row r="9">
      <c r="A9" s="1" t="s">
        <v>154</v>
      </c>
      <c r="B9" s="1" t="s">
        <v>155</v>
      </c>
    </row>
    <row r="11">
      <c r="A11" s="1" t="s">
        <v>156</v>
      </c>
      <c r="B11" s="8"/>
      <c r="D11" s="3" t="s">
        <v>145</v>
      </c>
      <c r="F11" s="3" t="s">
        <v>145</v>
      </c>
      <c r="H11" s="3" t="s">
        <v>145</v>
      </c>
      <c r="J11" s="3" t="s">
        <v>157</v>
      </c>
    </row>
    <row r="12">
      <c r="A12" s="1" t="s">
        <v>143</v>
      </c>
      <c r="B12" s="3" t="s">
        <v>144</v>
      </c>
      <c r="D12" s="3" t="s">
        <v>145</v>
      </c>
      <c r="F12" s="3" t="s">
        <v>146</v>
      </c>
      <c r="H12" s="3" t="s">
        <v>147</v>
      </c>
    </row>
    <row r="15">
      <c r="B15" s="3" t="s">
        <v>145</v>
      </c>
      <c r="D15" s="3" t="s">
        <v>158</v>
      </c>
      <c r="F15" s="3" t="s">
        <v>158</v>
      </c>
      <c r="H15" s="3" t="s">
        <v>158</v>
      </c>
      <c r="J15" s="3" t="s">
        <v>159</v>
      </c>
    </row>
    <row r="16">
      <c r="B16" s="3" t="s">
        <v>160</v>
      </c>
      <c r="D16" s="3" t="s">
        <v>158</v>
      </c>
      <c r="F16" s="3" t="s">
        <v>161</v>
      </c>
      <c r="H16" s="3" t="s">
        <v>147</v>
      </c>
    </row>
    <row r="19">
      <c r="B19" s="1" t="s">
        <v>162</v>
      </c>
      <c r="D19" s="1" t="s">
        <v>163</v>
      </c>
      <c r="F19" s="1" t="s">
        <v>164</v>
      </c>
    </row>
    <row r="22">
      <c r="A22" s="1" t="s">
        <v>165</v>
      </c>
      <c r="B22" s="1" t="s">
        <v>166</v>
      </c>
    </row>
    <row r="24">
      <c r="B24" s="1" t="s">
        <v>167</v>
      </c>
      <c r="D24" s="1" t="s">
        <v>168</v>
      </c>
    </row>
    <row r="26">
      <c r="I26" s="1" t="s">
        <v>169</v>
      </c>
      <c r="K26" s="1" t="s">
        <v>170</v>
      </c>
    </row>
    <row r="27">
      <c r="I27" s="1" t="s">
        <v>171</v>
      </c>
    </row>
    <row r="28">
      <c r="I28" s="1" t="s">
        <v>172</v>
      </c>
    </row>
    <row r="30">
      <c r="A30" s="1" t="s">
        <v>173</v>
      </c>
    </row>
    <row r="31">
      <c r="B31" s="1" t="s">
        <v>174</v>
      </c>
    </row>
    <row r="32">
      <c r="B32" s="1" t="s">
        <v>175</v>
      </c>
    </row>
    <row r="34">
      <c r="A34" s="1" t="s">
        <v>176</v>
      </c>
    </row>
    <row r="35">
      <c r="A35" s="1" t="s">
        <v>177</v>
      </c>
      <c r="B35" s="1" t="s">
        <v>178</v>
      </c>
    </row>
    <row r="36">
      <c r="A36" s="1" t="s">
        <v>179</v>
      </c>
      <c r="B36" s="1" t="s">
        <v>180</v>
      </c>
    </row>
    <row r="37">
      <c r="B37" s="1" t="s">
        <v>181</v>
      </c>
    </row>
    <row r="39">
      <c r="B39" s="1" t="s">
        <v>182</v>
      </c>
    </row>
    <row r="40">
      <c r="B40" s="1" t="s">
        <v>183</v>
      </c>
    </row>
    <row r="41">
      <c r="B41" s="1" t="s">
        <v>184</v>
      </c>
    </row>
    <row r="42">
      <c r="B42" s="1" t="s">
        <v>185</v>
      </c>
    </row>
    <row r="43">
      <c r="B43" s="1" t="s">
        <v>186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9.38"/>
    <col customWidth="1" min="3" max="3" width="17.88"/>
    <col customWidth="1" min="4" max="4" width="20.88"/>
    <col customWidth="1" min="6" max="7" width="21.75"/>
  </cols>
  <sheetData>
    <row r="1">
      <c r="A1" s="1" t="s">
        <v>176</v>
      </c>
    </row>
    <row r="2">
      <c r="A2" s="1" t="s">
        <v>177</v>
      </c>
      <c r="B2" s="1" t="s">
        <v>178</v>
      </c>
    </row>
    <row r="3">
      <c r="A3" s="1" t="s">
        <v>179</v>
      </c>
      <c r="B3" s="1" t="s">
        <v>180</v>
      </c>
    </row>
    <row r="5">
      <c r="E5" s="1" t="s">
        <v>181</v>
      </c>
      <c r="F5" s="1" t="s">
        <v>187</v>
      </c>
      <c r="G5" s="1" t="s">
        <v>188</v>
      </c>
      <c r="K5" s="26" t="s">
        <v>189</v>
      </c>
      <c r="L5" s="26" t="s">
        <v>190</v>
      </c>
      <c r="M5" s="26" t="s">
        <v>173</v>
      </c>
    </row>
    <row r="6">
      <c r="D6" s="1" t="s">
        <v>182</v>
      </c>
      <c r="E6" s="1">
        <v>0.7</v>
      </c>
      <c r="F6" s="1">
        <v>0.2</v>
      </c>
      <c r="G6" s="1" t="s">
        <v>191</v>
      </c>
      <c r="K6" s="1" t="s">
        <v>192</v>
      </c>
      <c r="L6" s="1" t="s">
        <v>193</v>
      </c>
      <c r="M6" s="1" t="s">
        <v>194</v>
      </c>
    </row>
    <row r="7">
      <c r="D7" s="1" t="s">
        <v>183</v>
      </c>
      <c r="E7" s="1">
        <v>0.9</v>
      </c>
      <c r="F7" s="1">
        <v>0.4</v>
      </c>
      <c r="G7" s="1" t="s">
        <v>195</v>
      </c>
      <c r="K7" s="1" t="s">
        <v>196</v>
      </c>
      <c r="L7" s="1" t="s">
        <v>197</v>
      </c>
      <c r="M7" s="1" t="s">
        <v>198</v>
      </c>
    </row>
    <row r="8">
      <c r="D8" s="1" t="s">
        <v>184</v>
      </c>
      <c r="E8" s="1">
        <v>0.5</v>
      </c>
      <c r="F8" s="1">
        <v>0.1</v>
      </c>
      <c r="G8" s="1" t="s">
        <v>199</v>
      </c>
      <c r="K8" s="1" t="s">
        <v>200</v>
      </c>
      <c r="L8" s="1" t="s">
        <v>201</v>
      </c>
      <c r="M8" s="1" t="s">
        <v>202</v>
      </c>
    </row>
    <row r="9">
      <c r="D9" s="1" t="s">
        <v>185</v>
      </c>
      <c r="E9" s="1">
        <v>0.6</v>
      </c>
      <c r="F9" s="1">
        <v>0.15</v>
      </c>
      <c r="G9" s="1" t="s">
        <v>203</v>
      </c>
      <c r="K9" s="1" t="s">
        <v>204</v>
      </c>
      <c r="L9" s="1" t="s">
        <v>205</v>
      </c>
      <c r="M9" s="1" t="s">
        <v>206</v>
      </c>
    </row>
    <row r="10">
      <c r="D10" s="1" t="s">
        <v>186</v>
      </c>
      <c r="E10" s="1">
        <v>0.6</v>
      </c>
      <c r="F10" s="1">
        <v>0.15</v>
      </c>
      <c r="G10" s="1" t="s">
        <v>207</v>
      </c>
      <c r="K10" s="1" t="s">
        <v>208</v>
      </c>
      <c r="L10" s="1" t="s">
        <v>209</v>
      </c>
      <c r="M10" s="1" t="s">
        <v>210</v>
      </c>
    </row>
    <row r="12">
      <c r="A12" s="1" t="s">
        <v>211</v>
      </c>
      <c r="F12" s="9">
        <f>SUM(F6:F10)</f>
        <v>1</v>
      </c>
    </row>
    <row r="13">
      <c r="A13" s="1" t="s">
        <v>212</v>
      </c>
      <c r="B13" s="1" t="s">
        <v>213</v>
      </c>
      <c r="C13" s="1" t="s">
        <v>214</v>
      </c>
      <c r="D13" s="1" t="s">
        <v>215</v>
      </c>
    </row>
    <row r="14">
      <c r="A14" s="1" t="s">
        <v>216</v>
      </c>
      <c r="B14" s="1" t="s">
        <v>217</v>
      </c>
      <c r="C14" s="1" t="s">
        <v>218</v>
      </c>
      <c r="D14" s="1" t="s">
        <v>219</v>
      </c>
    </row>
    <row r="15">
      <c r="A15" s="1" t="s">
        <v>220</v>
      </c>
      <c r="B15" s="1" t="s">
        <v>221</v>
      </c>
      <c r="C15" s="1" t="s">
        <v>222</v>
      </c>
      <c r="D15" s="1" t="s">
        <v>223</v>
      </c>
    </row>
    <row r="16">
      <c r="A16" s="1" t="s">
        <v>224</v>
      </c>
      <c r="B16" s="1" t="s">
        <v>225</v>
      </c>
      <c r="C16" s="1" t="s">
        <v>226</v>
      </c>
      <c r="D16" s="1" t="s">
        <v>227</v>
      </c>
    </row>
    <row r="17">
      <c r="A17" s="1" t="s">
        <v>228</v>
      </c>
      <c r="B17" s="1" t="s">
        <v>229</v>
      </c>
      <c r="C17" s="1" t="s">
        <v>230</v>
      </c>
      <c r="D17" s="1" t="s">
        <v>231</v>
      </c>
    </row>
    <row r="19">
      <c r="D19" s="1" t="s">
        <v>232</v>
      </c>
    </row>
    <row r="21">
      <c r="A21" s="1" t="s">
        <v>233</v>
      </c>
      <c r="B21" s="1" t="s">
        <v>234</v>
      </c>
    </row>
    <row r="22">
      <c r="A22" s="1" t="s">
        <v>235</v>
      </c>
    </row>
    <row r="24">
      <c r="B24" s="1" t="s">
        <v>236</v>
      </c>
      <c r="C24" s="1" t="s">
        <v>237</v>
      </c>
      <c r="D24" s="27"/>
    </row>
    <row r="25">
      <c r="B25" s="1" t="s">
        <v>238</v>
      </c>
      <c r="C25" s="1" t="s">
        <v>239</v>
      </c>
      <c r="D25" s="28"/>
    </row>
    <row r="26">
      <c r="B26" s="1" t="s">
        <v>240</v>
      </c>
      <c r="C26" s="1" t="s">
        <v>241</v>
      </c>
      <c r="D26" s="28"/>
    </row>
    <row r="27">
      <c r="B27" s="1" t="s">
        <v>242</v>
      </c>
      <c r="C27" s="1" t="s">
        <v>243</v>
      </c>
      <c r="D27" s="28"/>
    </row>
    <row r="28">
      <c r="D28" s="28"/>
    </row>
    <row r="29">
      <c r="D29" s="28"/>
    </row>
    <row r="30">
      <c r="D30" s="29"/>
    </row>
    <row r="31">
      <c r="B31" s="1" t="s">
        <v>238</v>
      </c>
      <c r="C31" s="1" t="s">
        <v>244</v>
      </c>
      <c r="D31" s="1" t="s">
        <v>245</v>
      </c>
    </row>
    <row r="32">
      <c r="B32" s="1" t="s">
        <v>238</v>
      </c>
      <c r="C32" s="1" t="s">
        <v>246</v>
      </c>
    </row>
    <row r="33">
      <c r="B33" s="1" t="s">
        <v>238</v>
      </c>
      <c r="C33" s="1" t="s">
        <v>239</v>
      </c>
    </row>
    <row r="36">
      <c r="A36" s="1" t="s">
        <v>247</v>
      </c>
      <c r="B36" s="1" t="s">
        <v>248</v>
      </c>
      <c r="C36" s="1" t="s">
        <v>249</v>
      </c>
    </row>
    <row r="37">
      <c r="A37" s="1" t="s">
        <v>250</v>
      </c>
      <c r="B37" s="1" t="s">
        <v>251</v>
      </c>
      <c r="C37" s="1" t="s">
        <v>252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43.88"/>
    <col customWidth="1" min="4" max="4" width="21.88"/>
    <col customWidth="1" min="11" max="11" width="16.25"/>
    <col customWidth="1" min="16" max="16" width="26.0"/>
    <col customWidth="1" min="19" max="19" width="19.13"/>
  </cols>
  <sheetData>
    <row r="1">
      <c r="A1" s="30" t="s">
        <v>253</v>
      </c>
      <c r="F1" s="1" t="s">
        <v>254</v>
      </c>
      <c r="O1" s="2" t="s">
        <v>255</v>
      </c>
    </row>
    <row r="2">
      <c r="A2" s="1" t="s">
        <v>41</v>
      </c>
      <c r="B2" s="1" t="s">
        <v>256</v>
      </c>
      <c r="C2" s="1" t="s">
        <v>257</v>
      </c>
      <c r="O2" s="1" t="s">
        <v>258</v>
      </c>
      <c r="P2" s="2" t="s">
        <v>259</v>
      </c>
    </row>
    <row r="3">
      <c r="A3" s="1" t="s">
        <v>260</v>
      </c>
      <c r="B3" s="1" t="s">
        <v>261</v>
      </c>
      <c r="C3" s="1" t="s">
        <v>262</v>
      </c>
      <c r="F3" s="1" t="s">
        <v>263</v>
      </c>
      <c r="G3" s="1" t="s">
        <v>264</v>
      </c>
    </row>
    <row r="4">
      <c r="A4" s="1">
        <v>5.0</v>
      </c>
      <c r="B4" s="1">
        <v>4.0</v>
      </c>
      <c r="C4" s="1">
        <v>7.0</v>
      </c>
      <c r="E4" s="31" t="s">
        <v>265</v>
      </c>
      <c r="F4" s="31" t="s">
        <v>266</v>
      </c>
      <c r="G4" s="31" t="s">
        <v>267</v>
      </c>
      <c r="H4" s="1" t="s">
        <v>268</v>
      </c>
    </row>
    <row r="5">
      <c r="A5" s="1">
        <v>8.0</v>
      </c>
      <c r="B5" s="1">
        <v>3.0</v>
      </c>
      <c r="C5" s="1">
        <v>9.0</v>
      </c>
      <c r="E5" s="31" t="s">
        <v>269</v>
      </c>
      <c r="F5" s="31" t="s">
        <v>266</v>
      </c>
      <c r="G5" s="31" t="s">
        <v>270</v>
      </c>
      <c r="L5" s="1" t="s">
        <v>271</v>
      </c>
      <c r="M5" s="1" t="s">
        <v>272</v>
      </c>
      <c r="N5" s="1" t="s">
        <v>273</v>
      </c>
      <c r="O5" s="1" t="s">
        <v>274</v>
      </c>
      <c r="P5" s="1" t="s">
        <v>275</v>
      </c>
      <c r="Q5" s="1" t="s">
        <v>276</v>
      </c>
      <c r="R5" s="1" t="s">
        <v>277</v>
      </c>
    </row>
    <row r="6">
      <c r="E6" s="31" t="s">
        <v>278</v>
      </c>
      <c r="F6" s="31" t="s">
        <v>266</v>
      </c>
      <c r="G6" s="31" t="s">
        <v>270</v>
      </c>
      <c r="K6" s="32" t="s">
        <v>279</v>
      </c>
      <c r="L6" s="32">
        <v>1.0</v>
      </c>
      <c r="M6" s="32">
        <v>1.0</v>
      </c>
      <c r="N6" s="1">
        <v>0.0</v>
      </c>
      <c r="O6" s="1">
        <v>1.0</v>
      </c>
      <c r="P6" s="1">
        <v>0.0</v>
      </c>
      <c r="Q6" s="1">
        <v>0.0</v>
      </c>
      <c r="R6" s="1">
        <v>0.0</v>
      </c>
      <c r="S6" s="1" t="s">
        <v>280</v>
      </c>
      <c r="U6" s="1" t="s">
        <v>281</v>
      </c>
    </row>
    <row r="7">
      <c r="E7" s="31" t="s">
        <v>282</v>
      </c>
      <c r="F7" s="31" t="s">
        <v>266</v>
      </c>
      <c r="G7" s="31" t="s">
        <v>267</v>
      </c>
      <c r="K7" s="32" t="s">
        <v>283</v>
      </c>
      <c r="L7" s="32">
        <v>1.0</v>
      </c>
      <c r="M7" s="32">
        <v>1.0</v>
      </c>
      <c r="N7" s="1">
        <v>1.0</v>
      </c>
      <c r="O7" s="1">
        <v>1.0</v>
      </c>
      <c r="P7" s="1">
        <v>1.0</v>
      </c>
      <c r="Q7" s="1">
        <v>0.0</v>
      </c>
      <c r="R7" s="1">
        <v>0.0</v>
      </c>
      <c r="S7" s="1" t="s">
        <v>284</v>
      </c>
    </row>
    <row r="8" hidden="1">
      <c r="A8" s="1" t="s">
        <v>285</v>
      </c>
      <c r="B8" s="1" t="s">
        <v>286</v>
      </c>
      <c r="C8" s="1" t="s">
        <v>257</v>
      </c>
      <c r="E8" s="31" t="s">
        <v>287</v>
      </c>
      <c r="F8" s="31" t="s">
        <v>266</v>
      </c>
      <c r="G8" s="31" t="s">
        <v>267</v>
      </c>
      <c r="K8" s="32" t="s">
        <v>288</v>
      </c>
      <c r="L8" s="32">
        <v>1.0</v>
      </c>
      <c r="M8" s="32">
        <v>0.0</v>
      </c>
      <c r="N8" s="1">
        <v>0.0</v>
      </c>
      <c r="O8" s="1">
        <v>0.0</v>
      </c>
      <c r="P8" s="1">
        <v>1.0</v>
      </c>
      <c r="Q8" s="1">
        <v>1.0</v>
      </c>
      <c r="R8" s="1">
        <v>1.0</v>
      </c>
      <c r="S8" s="1" t="s">
        <v>289</v>
      </c>
    </row>
    <row r="9">
      <c r="A9" s="1" t="s">
        <v>290</v>
      </c>
      <c r="B9" s="1" t="s">
        <v>291</v>
      </c>
      <c r="C9" s="1" t="s">
        <v>292</v>
      </c>
      <c r="D9" s="1">
        <v>0.49</v>
      </c>
      <c r="E9" s="31" t="s">
        <v>293</v>
      </c>
      <c r="F9" s="31" t="s">
        <v>266</v>
      </c>
      <c r="G9" s="31" t="s">
        <v>267</v>
      </c>
      <c r="K9" s="32" t="s">
        <v>294</v>
      </c>
      <c r="L9" s="32">
        <v>1.0</v>
      </c>
      <c r="M9" s="32">
        <v>1.0</v>
      </c>
      <c r="N9" s="1">
        <v>1.0</v>
      </c>
      <c r="O9" s="1">
        <v>1.0</v>
      </c>
      <c r="P9" s="1">
        <v>0.0</v>
      </c>
      <c r="Q9" s="1">
        <v>0.0</v>
      </c>
      <c r="R9" s="1">
        <v>0.0</v>
      </c>
      <c r="S9" s="1" t="s">
        <v>295</v>
      </c>
    </row>
    <row r="10" hidden="1">
      <c r="A10" s="1" t="s">
        <v>296</v>
      </c>
      <c r="B10" s="1" t="s">
        <v>297</v>
      </c>
      <c r="C10" s="1" t="s">
        <v>298</v>
      </c>
      <c r="D10" s="1">
        <v>0.48</v>
      </c>
      <c r="E10" s="33" t="s">
        <v>299</v>
      </c>
      <c r="F10" s="33" t="s">
        <v>300</v>
      </c>
      <c r="G10" s="33" t="s">
        <v>270</v>
      </c>
      <c r="H10" s="1" t="s">
        <v>301</v>
      </c>
      <c r="K10" s="32" t="s">
        <v>302</v>
      </c>
      <c r="L10" s="32">
        <v>1.0</v>
      </c>
      <c r="M10" s="32">
        <v>0.0</v>
      </c>
      <c r="N10" s="1">
        <v>0.0</v>
      </c>
      <c r="O10" s="1">
        <v>0.0</v>
      </c>
      <c r="P10" s="1">
        <v>1.0</v>
      </c>
      <c r="Q10" s="1">
        <v>0.0</v>
      </c>
      <c r="R10" s="1">
        <v>1.0</v>
      </c>
      <c r="S10" s="1" t="s">
        <v>303</v>
      </c>
    </row>
    <row r="11">
      <c r="A11" s="1" t="s">
        <v>304</v>
      </c>
      <c r="B11" s="1" t="s">
        <v>305</v>
      </c>
      <c r="C11" s="1" t="s">
        <v>306</v>
      </c>
      <c r="D11" s="1">
        <v>0.1</v>
      </c>
      <c r="E11" s="33" t="s">
        <v>307</v>
      </c>
      <c r="F11" s="33" t="s">
        <v>300</v>
      </c>
      <c r="G11" s="33" t="s">
        <v>267</v>
      </c>
      <c r="K11" s="32" t="s">
        <v>308</v>
      </c>
      <c r="L11" s="32">
        <v>1.0</v>
      </c>
      <c r="M11" s="32">
        <v>1.0</v>
      </c>
      <c r="N11" s="1">
        <v>1.0</v>
      </c>
      <c r="O11" s="1">
        <v>1.0</v>
      </c>
      <c r="P11" s="1">
        <v>0.0</v>
      </c>
      <c r="Q11" s="1">
        <v>1.0</v>
      </c>
      <c r="R11" s="1">
        <v>1.0</v>
      </c>
      <c r="S11" s="1" t="s">
        <v>309</v>
      </c>
    </row>
    <row r="12">
      <c r="E12" s="33" t="s">
        <v>310</v>
      </c>
      <c r="F12" s="33" t="s">
        <v>300</v>
      </c>
      <c r="G12" s="33" t="s">
        <v>267</v>
      </c>
      <c r="K12" s="32" t="s">
        <v>311</v>
      </c>
      <c r="L12" s="32">
        <v>1.0</v>
      </c>
      <c r="M12" s="32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1.0</v>
      </c>
      <c r="S12" s="1" t="s">
        <v>312</v>
      </c>
    </row>
    <row r="13">
      <c r="E13" s="33" t="s">
        <v>313</v>
      </c>
      <c r="F13" s="33" t="s">
        <v>300</v>
      </c>
      <c r="G13" s="33" t="s">
        <v>270</v>
      </c>
      <c r="K13" s="32" t="s">
        <v>314</v>
      </c>
      <c r="L13" s="32">
        <v>0.0</v>
      </c>
      <c r="M13" s="32">
        <v>1.0</v>
      </c>
      <c r="N13" s="1">
        <v>1.0</v>
      </c>
      <c r="O13" s="1">
        <v>1.0</v>
      </c>
      <c r="P13" s="1">
        <v>1.0</v>
      </c>
      <c r="Q13" s="1">
        <v>0.0</v>
      </c>
      <c r="R13" s="1">
        <v>0.0</v>
      </c>
      <c r="S13" s="1" t="s">
        <v>315</v>
      </c>
    </row>
    <row r="14">
      <c r="A14" s="1" t="s">
        <v>41</v>
      </c>
      <c r="B14" s="1" t="s">
        <v>256</v>
      </c>
      <c r="C14" s="1" t="s">
        <v>316</v>
      </c>
      <c r="K14" s="32" t="s">
        <v>317</v>
      </c>
      <c r="L14" s="32">
        <v>1.0</v>
      </c>
      <c r="M14" s="32">
        <v>1.0</v>
      </c>
      <c r="N14" s="1">
        <v>1.0</v>
      </c>
      <c r="O14" s="1">
        <v>1.0</v>
      </c>
      <c r="P14" s="1">
        <v>0.0</v>
      </c>
      <c r="Q14" s="1">
        <v>1.0</v>
      </c>
      <c r="R14" s="1">
        <v>1.0</v>
      </c>
      <c r="S14" s="1" t="s">
        <v>318</v>
      </c>
    </row>
    <row r="15">
      <c r="F15" s="1" t="s">
        <v>41</v>
      </c>
      <c r="G15" s="1" t="s">
        <v>256</v>
      </c>
      <c r="K15" s="32" t="s">
        <v>319</v>
      </c>
      <c r="L15" s="32">
        <v>1.0</v>
      </c>
      <c r="M15" s="32">
        <v>1.0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 t="s">
        <v>320</v>
      </c>
    </row>
    <row r="16">
      <c r="F16" s="1" t="s">
        <v>266</v>
      </c>
      <c r="G16" s="1" t="s">
        <v>267</v>
      </c>
    </row>
    <row r="17">
      <c r="A17" s="1" t="s">
        <v>321</v>
      </c>
      <c r="K17" s="1" t="s">
        <v>322</v>
      </c>
      <c r="L17" s="1" t="s">
        <v>323</v>
      </c>
      <c r="N17" s="1"/>
    </row>
    <row r="18">
      <c r="F18" s="1" t="s">
        <v>324</v>
      </c>
      <c r="L18" s="1"/>
    </row>
    <row r="19">
      <c r="F19" s="1" t="s">
        <v>325</v>
      </c>
      <c r="G19" s="1" t="s">
        <v>326</v>
      </c>
    </row>
    <row r="20">
      <c r="G20" s="1" t="s">
        <v>327</v>
      </c>
      <c r="K20" s="1" t="s">
        <v>328</v>
      </c>
      <c r="L20" s="34">
        <f>7/10</f>
        <v>0.7</v>
      </c>
      <c r="P20" s="1" t="s">
        <v>329</v>
      </c>
    </row>
    <row r="21">
      <c r="G21" s="1" t="s">
        <v>330</v>
      </c>
      <c r="K21" s="1" t="s">
        <v>331</v>
      </c>
      <c r="L21" s="34">
        <f>6/10</f>
        <v>0.6</v>
      </c>
    </row>
    <row r="22">
      <c r="K22" s="1" t="s">
        <v>332</v>
      </c>
      <c r="L22" s="34">
        <f>5/10</f>
        <v>0.5</v>
      </c>
    </row>
    <row r="23">
      <c r="F23" s="1" t="s">
        <v>333</v>
      </c>
      <c r="G23" s="1" t="s">
        <v>334</v>
      </c>
      <c r="K23" s="1" t="s">
        <v>335</v>
      </c>
      <c r="L23" s="34">
        <f>6/10</f>
        <v>0.6</v>
      </c>
    </row>
    <row r="24">
      <c r="G24" s="1" t="s">
        <v>336</v>
      </c>
      <c r="K24" s="1" t="s">
        <v>337</v>
      </c>
      <c r="L24" s="34">
        <f>4/10</f>
        <v>0.4</v>
      </c>
      <c r="M24" s="1" t="s">
        <v>338</v>
      </c>
    </row>
    <row r="25">
      <c r="G25" s="1" t="s">
        <v>339</v>
      </c>
      <c r="K25" s="1" t="s">
        <v>340</v>
      </c>
      <c r="L25" s="34">
        <f>7/10</f>
        <v>0.7</v>
      </c>
    </row>
    <row r="26">
      <c r="K26" s="1" t="s">
        <v>341</v>
      </c>
      <c r="L26" s="34">
        <f>6/10</f>
        <v>0.6</v>
      </c>
    </row>
    <row r="27">
      <c r="F27" s="1" t="s">
        <v>342</v>
      </c>
      <c r="K27" s="1" t="s">
        <v>343</v>
      </c>
      <c r="L27" s="34">
        <f>4/10</f>
        <v>0.4</v>
      </c>
    </row>
    <row r="30">
      <c r="K30" s="1" t="s">
        <v>328</v>
      </c>
      <c r="M30" s="1" t="s">
        <v>344</v>
      </c>
      <c r="R30" s="1" t="s">
        <v>331</v>
      </c>
    </row>
    <row r="32">
      <c r="L32" s="1" t="s">
        <v>345</v>
      </c>
      <c r="M32" s="1" t="s">
        <v>346</v>
      </c>
      <c r="N32" s="30" t="s">
        <v>347</v>
      </c>
      <c r="O32" s="34">
        <f>7/9</f>
        <v>0.7777777778</v>
      </c>
      <c r="R32" s="1" t="s">
        <v>348</v>
      </c>
      <c r="S32" s="1" t="s">
        <v>349</v>
      </c>
      <c r="T32" s="34">
        <f>6/6</f>
        <v>1</v>
      </c>
    </row>
    <row r="34">
      <c r="M34" s="1" t="s">
        <v>350</v>
      </c>
      <c r="N34" s="30" t="s">
        <v>351</v>
      </c>
      <c r="O34" s="34">
        <f>7/8</f>
        <v>0.875</v>
      </c>
      <c r="P34" s="30" t="s">
        <v>352</v>
      </c>
      <c r="R34" s="1" t="s">
        <v>353</v>
      </c>
      <c r="S34" s="1" t="s">
        <v>354</v>
      </c>
      <c r="T34" s="34">
        <f>6/7</f>
        <v>0.8571428571</v>
      </c>
    </row>
    <row r="35">
      <c r="A35" s="1">
        <v>1.0</v>
      </c>
      <c r="B35" s="1" t="s">
        <v>325</v>
      </c>
      <c r="C35" s="1" t="s">
        <v>355</v>
      </c>
      <c r="K35" s="1" t="s">
        <v>356</v>
      </c>
    </row>
    <row r="36">
      <c r="A36" s="1">
        <v>2.0</v>
      </c>
      <c r="B36" s="1" t="s">
        <v>258</v>
      </c>
      <c r="C36" s="1" t="s">
        <v>357</v>
      </c>
    </row>
    <row r="37">
      <c r="L37" s="1" t="s">
        <v>358</v>
      </c>
      <c r="M37" s="1" t="s">
        <v>359</v>
      </c>
    </row>
    <row r="38">
      <c r="B38" s="1" t="s">
        <v>325</v>
      </c>
      <c r="K38" s="1" t="s">
        <v>328</v>
      </c>
      <c r="L38" s="34">
        <f>7/10</f>
        <v>0.7</v>
      </c>
      <c r="M38" s="35">
        <v>0.875</v>
      </c>
    </row>
    <row r="39">
      <c r="B39" s="1" t="s">
        <v>360</v>
      </c>
      <c r="K39" s="1" t="s">
        <v>331</v>
      </c>
      <c r="L39" s="34">
        <f>6/10</f>
        <v>0.6</v>
      </c>
      <c r="M39" s="23" t="s">
        <v>361</v>
      </c>
    </row>
    <row r="40">
      <c r="B40" s="1" t="s">
        <v>362</v>
      </c>
      <c r="K40" s="1" t="s">
        <v>363</v>
      </c>
      <c r="L40" s="1">
        <v>50.0</v>
      </c>
      <c r="M40" s="1">
        <v>70.0</v>
      </c>
    </row>
    <row r="41">
      <c r="B41" s="1" t="s">
        <v>364</v>
      </c>
      <c r="C41" s="1" t="s">
        <v>365</v>
      </c>
      <c r="D41" s="1" t="s">
        <v>366</v>
      </c>
    </row>
    <row r="43">
      <c r="K43" s="1" t="s">
        <v>367</v>
      </c>
      <c r="L43" s="1" t="s">
        <v>368</v>
      </c>
      <c r="R43" s="36"/>
    </row>
    <row r="45">
      <c r="K45" s="1" t="s">
        <v>369</v>
      </c>
    </row>
    <row r="46">
      <c r="L46" s="1" t="s">
        <v>370</v>
      </c>
    </row>
    <row r="47">
      <c r="L47" s="1" t="s">
        <v>371</v>
      </c>
    </row>
    <row r="48">
      <c r="L48" s="1" t="s">
        <v>372</v>
      </c>
    </row>
    <row r="50">
      <c r="K50" s="1" t="s">
        <v>373</v>
      </c>
      <c r="L50" s="1" t="s">
        <v>374</v>
      </c>
    </row>
    <row r="51">
      <c r="K51" s="1" t="s">
        <v>375</v>
      </c>
      <c r="L51" s="1"/>
      <c r="M51" s="1"/>
    </row>
    <row r="53">
      <c r="K53" s="1" t="s">
        <v>376</v>
      </c>
    </row>
    <row r="56">
      <c r="K56" s="1" t="s">
        <v>377</v>
      </c>
      <c r="L56" s="1" t="s">
        <v>378</v>
      </c>
      <c r="M56" s="1" t="s">
        <v>379</v>
      </c>
    </row>
    <row r="57">
      <c r="K57" s="37" t="s">
        <v>380</v>
      </c>
    </row>
    <row r="58">
      <c r="K58" s="38" t="s">
        <v>381</v>
      </c>
      <c r="L58" s="39" t="s">
        <v>382</v>
      </c>
      <c r="M58" s="40"/>
      <c r="N58" s="41" t="s">
        <v>383</v>
      </c>
      <c r="O58" s="42"/>
      <c r="P58" s="40"/>
      <c r="Q58" s="41" t="s">
        <v>384</v>
      </c>
      <c r="R58" s="42"/>
      <c r="S58" s="40"/>
      <c r="T58" s="41" t="s">
        <v>385</v>
      </c>
      <c r="U58" s="43"/>
    </row>
    <row r="59">
      <c r="K59" s="44">
        <v>1.0</v>
      </c>
      <c r="L59" s="45" t="s">
        <v>386</v>
      </c>
      <c r="N59" s="45" t="s">
        <v>387</v>
      </c>
      <c r="O59" s="45">
        <v>4.0</v>
      </c>
      <c r="Q59" s="1" t="s">
        <v>388</v>
      </c>
      <c r="R59" s="1">
        <v>2.0</v>
      </c>
      <c r="T59" s="33" t="s">
        <v>389</v>
      </c>
      <c r="U59" s="46">
        <v>0.0</v>
      </c>
    </row>
    <row r="60">
      <c r="K60" s="44">
        <v>2.0</v>
      </c>
      <c r="L60" s="1" t="s">
        <v>390</v>
      </c>
      <c r="N60" s="1" t="s">
        <v>391</v>
      </c>
      <c r="O60" s="1">
        <v>4.0</v>
      </c>
      <c r="Q60" s="47" t="s">
        <v>392</v>
      </c>
      <c r="R60" s="33">
        <v>1.0</v>
      </c>
      <c r="T60" s="47" t="s">
        <v>393</v>
      </c>
      <c r="U60" s="46">
        <v>1.0</v>
      </c>
    </row>
    <row r="61">
      <c r="K61" s="44">
        <v>3.0</v>
      </c>
      <c r="L61" s="1" t="s">
        <v>394</v>
      </c>
      <c r="N61" s="33" t="s">
        <v>395</v>
      </c>
      <c r="O61" s="33">
        <v>1.0</v>
      </c>
      <c r="Q61" s="48" t="s">
        <v>396</v>
      </c>
      <c r="R61" s="1">
        <v>2.0</v>
      </c>
      <c r="T61" s="47" t="s">
        <v>397</v>
      </c>
      <c r="U61" s="46">
        <v>0.0</v>
      </c>
    </row>
    <row r="62">
      <c r="K62" s="44">
        <v>4.0</v>
      </c>
      <c r="L62" s="45" t="s">
        <v>398</v>
      </c>
      <c r="N62" s="1" t="s">
        <v>399</v>
      </c>
      <c r="O62" s="1">
        <v>2.0</v>
      </c>
      <c r="Q62" s="33" t="s">
        <v>400</v>
      </c>
      <c r="R62" s="33">
        <v>0.0</v>
      </c>
      <c r="U62" s="49"/>
    </row>
    <row r="63">
      <c r="K63" s="44">
        <v>5.0</v>
      </c>
      <c r="L63" s="1" t="s">
        <v>401</v>
      </c>
      <c r="N63" s="1" t="s">
        <v>402</v>
      </c>
      <c r="O63" s="1">
        <v>4.0</v>
      </c>
      <c r="Q63" s="33" t="s">
        <v>403</v>
      </c>
      <c r="R63" s="33">
        <v>1.0</v>
      </c>
      <c r="U63" s="49"/>
    </row>
    <row r="64">
      <c r="K64" s="44">
        <v>6.0</v>
      </c>
      <c r="L64" s="1" t="s">
        <v>394</v>
      </c>
      <c r="N64" s="1" t="s">
        <v>404</v>
      </c>
      <c r="O64" s="1">
        <v>2.0</v>
      </c>
      <c r="Q64" s="1" t="s">
        <v>405</v>
      </c>
      <c r="R64" s="1" t="s">
        <v>405</v>
      </c>
      <c r="U64" s="49"/>
    </row>
    <row r="65">
      <c r="K65" s="44">
        <v>7.0</v>
      </c>
      <c r="L65" s="1" t="s">
        <v>401</v>
      </c>
      <c r="N65" s="1" t="s">
        <v>406</v>
      </c>
      <c r="O65" s="1">
        <v>2.0</v>
      </c>
      <c r="Q65" s="1" t="s">
        <v>405</v>
      </c>
      <c r="U65" s="49"/>
    </row>
    <row r="66">
      <c r="K66" s="44">
        <v>8.0</v>
      </c>
      <c r="L66" s="45" t="s">
        <v>393</v>
      </c>
      <c r="N66" s="33" t="s">
        <v>407</v>
      </c>
      <c r="O66" s="33">
        <v>0.0</v>
      </c>
      <c r="Q66" s="1" t="s">
        <v>405</v>
      </c>
      <c r="U66" s="49"/>
    </row>
    <row r="67">
      <c r="K67" s="44">
        <v>9.0</v>
      </c>
      <c r="L67" s="45" t="s">
        <v>408</v>
      </c>
      <c r="N67" s="33" t="s">
        <v>409</v>
      </c>
      <c r="O67" s="33">
        <v>1.0</v>
      </c>
      <c r="U67" s="49"/>
    </row>
    <row r="68">
      <c r="K68" s="50"/>
      <c r="L68" s="51"/>
      <c r="M68" s="51"/>
      <c r="N68" s="52" t="s">
        <v>410</v>
      </c>
      <c r="O68" s="52">
        <v>0.0</v>
      </c>
      <c r="P68" s="51"/>
      <c r="Q68" s="53" t="s">
        <v>405</v>
      </c>
      <c r="R68" s="51"/>
      <c r="S68" s="51"/>
      <c r="T68" s="51"/>
      <c r="U68" s="54"/>
    </row>
    <row r="69">
      <c r="K69" s="1" t="s">
        <v>411</v>
      </c>
      <c r="L69" s="1">
        <v>6.0</v>
      </c>
    </row>
    <row r="70">
      <c r="K70" s="1" t="s">
        <v>412</v>
      </c>
      <c r="L70" s="1">
        <v>7.0</v>
      </c>
    </row>
    <row r="71">
      <c r="K71" s="1" t="s">
        <v>413</v>
      </c>
      <c r="L71" s="1">
        <v>6.0</v>
      </c>
    </row>
    <row r="72">
      <c r="K72" s="1" t="s">
        <v>414</v>
      </c>
      <c r="L72" s="1">
        <v>2.0</v>
      </c>
      <c r="M72" s="55"/>
      <c r="N72" s="40"/>
      <c r="O72" s="40"/>
      <c r="P72" s="39" t="s">
        <v>415</v>
      </c>
      <c r="Q72" s="39" t="s">
        <v>416</v>
      </c>
      <c r="R72" s="39" t="s">
        <v>417</v>
      </c>
      <c r="S72" s="56"/>
    </row>
    <row r="73">
      <c r="K73" s="1" t="s">
        <v>418</v>
      </c>
      <c r="L73" s="1">
        <v>2.0</v>
      </c>
      <c r="M73" s="57"/>
      <c r="P73" s="1" t="s">
        <v>359</v>
      </c>
      <c r="S73" s="49"/>
    </row>
    <row r="74">
      <c r="M74" s="57"/>
      <c r="N74" s="33" t="s">
        <v>419</v>
      </c>
      <c r="O74" s="33" t="s">
        <v>402</v>
      </c>
      <c r="P74" s="58">
        <f>R59*100/L69</f>
        <v>33.33333333</v>
      </c>
      <c r="S74" s="49"/>
    </row>
    <row r="75">
      <c r="M75" s="57"/>
      <c r="N75" s="33" t="s">
        <v>412</v>
      </c>
      <c r="O75" s="33" t="s">
        <v>391</v>
      </c>
      <c r="P75" s="58">
        <f>R59*100/L70</f>
        <v>28.57142857</v>
      </c>
      <c r="S75" s="49"/>
    </row>
    <row r="76">
      <c r="M76" s="57"/>
      <c r="N76" s="33" t="s">
        <v>420</v>
      </c>
      <c r="O76" s="33" t="s">
        <v>421</v>
      </c>
      <c r="P76" s="58">
        <f>R59*100/L71</f>
        <v>33.33333333</v>
      </c>
      <c r="S76" s="49"/>
    </row>
    <row r="77">
      <c r="M77" s="57"/>
      <c r="N77" s="1" t="s">
        <v>402</v>
      </c>
      <c r="O77" s="1" t="s">
        <v>419</v>
      </c>
      <c r="P77" s="9">
        <f>R59*100/O63</f>
        <v>50</v>
      </c>
      <c r="Q77" s="9">
        <f t="shared" ref="Q77:Q79" si="1">L69/9</f>
        <v>0.6666666667</v>
      </c>
      <c r="R77" s="9">
        <f t="shared" ref="R77:R79" si="2">P77/(100*Q77)</f>
        <v>0.75</v>
      </c>
      <c r="S77" s="49"/>
    </row>
    <row r="78">
      <c r="M78" s="57"/>
      <c r="N78" s="1" t="s">
        <v>391</v>
      </c>
      <c r="O78" s="1" t="s">
        <v>412</v>
      </c>
      <c r="P78" s="9">
        <f>R59*100/O60</f>
        <v>50</v>
      </c>
      <c r="Q78" s="9">
        <f t="shared" si="1"/>
        <v>0.7777777778</v>
      </c>
      <c r="R78" s="9">
        <f t="shared" si="2"/>
        <v>0.6428571429</v>
      </c>
      <c r="S78" s="49"/>
    </row>
    <row r="79">
      <c r="M79" s="57"/>
      <c r="N79" s="1" t="s">
        <v>421</v>
      </c>
      <c r="O79" s="1" t="s">
        <v>420</v>
      </c>
      <c r="P79" s="9">
        <f>R59*100/O59</f>
        <v>50</v>
      </c>
      <c r="Q79" s="9">
        <f t="shared" si="1"/>
        <v>0.6666666667</v>
      </c>
      <c r="R79" s="9">
        <f t="shared" si="2"/>
        <v>0.75</v>
      </c>
      <c r="S79" s="49"/>
    </row>
    <row r="80">
      <c r="M80" s="57"/>
      <c r="S80" s="49"/>
    </row>
    <row r="81">
      <c r="M81" s="57"/>
      <c r="N81" s="1" t="s">
        <v>419</v>
      </c>
      <c r="O81" s="1" t="s">
        <v>406</v>
      </c>
      <c r="P81" s="9">
        <f>R61*100/L69</f>
        <v>33.33333333</v>
      </c>
      <c r="S81" s="49"/>
    </row>
    <row r="82">
      <c r="M82" s="57"/>
      <c r="N82" s="1" t="s">
        <v>422</v>
      </c>
      <c r="O82" s="1" t="s">
        <v>399</v>
      </c>
      <c r="P82" s="9">
        <f>R61*100/L70</f>
        <v>28.57142857</v>
      </c>
      <c r="S82" s="49"/>
    </row>
    <row r="83">
      <c r="M83" s="59" t="s">
        <v>423</v>
      </c>
      <c r="N83" s="45" t="s">
        <v>418</v>
      </c>
      <c r="O83" s="45" t="s">
        <v>421</v>
      </c>
      <c r="P83" s="60">
        <f>R61*100/L73</f>
        <v>100</v>
      </c>
      <c r="Q83" s="60">
        <f>O59/9</f>
        <v>0.4444444444</v>
      </c>
      <c r="R83" s="60">
        <f t="shared" ref="R83:R86" si="3">P83/(100*Q83)</f>
        <v>2.25</v>
      </c>
      <c r="S83" s="61" t="s">
        <v>424</v>
      </c>
    </row>
    <row r="84">
      <c r="M84" s="57"/>
      <c r="N84" s="1" t="s">
        <v>406</v>
      </c>
      <c r="O84" s="1" t="s">
        <v>419</v>
      </c>
      <c r="P84" s="9">
        <f>R61*100/O65</f>
        <v>100</v>
      </c>
      <c r="Q84" s="9">
        <f t="shared" ref="Q84:Q85" si="4">Q77</f>
        <v>0.6666666667</v>
      </c>
      <c r="R84" s="9">
        <f t="shared" si="3"/>
        <v>1.5</v>
      </c>
      <c r="S84" s="49"/>
    </row>
    <row r="85">
      <c r="M85" s="57"/>
      <c r="N85" s="1" t="s">
        <v>399</v>
      </c>
      <c r="O85" s="1" t="s">
        <v>422</v>
      </c>
      <c r="P85" s="9">
        <f>R61*100/O62</f>
        <v>100</v>
      </c>
      <c r="Q85" s="9">
        <f t="shared" si="4"/>
        <v>0.7777777778</v>
      </c>
      <c r="R85" s="9">
        <f t="shared" si="3"/>
        <v>1.285714286</v>
      </c>
      <c r="S85" s="49"/>
    </row>
    <row r="86">
      <c r="M86" s="50"/>
      <c r="N86" s="53" t="s">
        <v>421</v>
      </c>
      <c r="O86" s="53" t="s">
        <v>418</v>
      </c>
      <c r="P86" s="51">
        <f>R61*100/O59</f>
        <v>50</v>
      </c>
      <c r="Q86" s="51">
        <f>L73/9</f>
        <v>0.2222222222</v>
      </c>
      <c r="R86" s="51">
        <f t="shared" si="3"/>
        <v>2.25</v>
      </c>
      <c r="S86" s="54"/>
    </row>
  </sheetData>
  <autoFilter ref="$L$5:$R$15">
    <filterColumn colId="1">
      <filters>
        <filter val="1"/>
      </filters>
    </filterColumn>
  </autoFilter>
  <customSheetViews>
    <customSheetView guid="{F8B1260B-7993-4020-B800-90DB191211AB}" filter="1" showAutoFilter="1">
      <autoFilter ref="$L$5:$R$15"/>
    </customSheetView>
    <customSheetView guid="{B86EF3D3-83A8-4D10-A14C-DB612A9A1FD5}" filter="1" showAutoFilter="1">
      <autoFilter ref="$K$5:$S$15">
        <filterColumn colId="4">
          <filters>
            <filter val="1"/>
          </filters>
        </filterColumn>
      </autoFilter>
    </customSheetView>
  </customSheetViews>
  <mergeCells count="8">
    <mergeCell ref="A1:C1"/>
    <mergeCell ref="F1:H1"/>
    <mergeCell ref="O1:P1"/>
    <mergeCell ref="H4:H9"/>
    <mergeCell ref="H10:H13"/>
    <mergeCell ref="N58:O58"/>
    <mergeCell ref="Q58:R58"/>
    <mergeCell ref="T58:U5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5"/>
  </cols>
  <sheetData>
    <row r="1">
      <c r="B1" s="1" t="s">
        <v>425</v>
      </c>
      <c r="C1" s="1" t="s">
        <v>426</v>
      </c>
      <c r="D1" s="1" t="s">
        <v>427</v>
      </c>
    </row>
    <row r="2">
      <c r="A2" s="1">
        <v>1.0</v>
      </c>
      <c r="B2" s="1" t="s">
        <v>428</v>
      </c>
      <c r="C2" s="45" t="s">
        <v>429</v>
      </c>
      <c r="D2" s="45" t="s">
        <v>430</v>
      </c>
      <c r="F2" s="1" t="s">
        <v>431</v>
      </c>
    </row>
    <row r="3">
      <c r="A3" s="1">
        <v>2.0</v>
      </c>
      <c r="B3" s="1" t="s">
        <v>432</v>
      </c>
      <c r="C3" s="45" t="s">
        <v>433</v>
      </c>
    </row>
    <row r="4">
      <c r="A4" s="1">
        <v>3.0</v>
      </c>
      <c r="B4" s="45" t="s">
        <v>434</v>
      </c>
    </row>
    <row r="5">
      <c r="A5" s="1">
        <v>4.0</v>
      </c>
      <c r="B5" s="45" t="s">
        <v>435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5.25"/>
  </cols>
  <sheetData>
    <row r="1">
      <c r="A1" s="1" t="s">
        <v>436</v>
      </c>
      <c r="B1" s="1"/>
      <c r="C1" s="1"/>
      <c r="D1" s="1"/>
      <c r="E1" s="1"/>
      <c r="F1" s="1"/>
    </row>
    <row r="2">
      <c r="A2" s="2" t="s">
        <v>437</v>
      </c>
      <c r="B2" s="1"/>
      <c r="C2" s="1"/>
      <c r="D2" s="1"/>
      <c r="E2" s="1"/>
      <c r="F2" s="1"/>
    </row>
    <row r="3">
      <c r="A3" s="1" t="s">
        <v>438</v>
      </c>
      <c r="B3" s="1"/>
      <c r="C3" s="1"/>
      <c r="D3" s="1"/>
      <c r="E3" s="1"/>
      <c r="F3" s="1"/>
    </row>
    <row r="4">
      <c r="A4" s="1" t="s">
        <v>439</v>
      </c>
      <c r="B4" s="1" t="s">
        <v>440</v>
      </c>
      <c r="C4" s="1" t="s">
        <v>441</v>
      </c>
      <c r="D4" s="1" t="s">
        <v>442</v>
      </c>
      <c r="E4" s="1"/>
      <c r="F4" s="1" t="s">
        <v>443</v>
      </c>
    </row>
    <row r="5">
      <c r="A5" s="1" t="s">
        <v>444</v>
      </c>
      <c r="B5" s="1" t="s">
        <v>445</v>
      </c>
      <c r="C5" s="1" t="s">
        <v>446</v>
      </c>
      <c r="D5" s="1" t="s">
        <v>447</v>
      </c>
      <c r="E5" s="1"/>
      <c r="F5" s="1" t="s">
        <v>448</v>
      </c>
    </row>
    <row r="6">
      <c r="A6" s="1" t="s">
        <v>445</v>
      </c>
      <c r="B6" s="1" t="s">
        <v>448</v>
      </c>
      <c r="C6" s="1" t="s">
        <v>449</v>
      </c>
      <c r="D6" s="2" t="s">
        <v>450</v>
      </c>
      <c r="E6" s="1"/>
      <c r="F6" s="1" t="s">
        <v>446</v>
      </c>
    </row>
    <row r="7">
      <c r="E7" s="1"/>
      <c r="F7" s="1" t="s">
        <v>447</v>
      </c>
    </row>
    <row r="9">
      <c r="A9" s="1" t="s">
        <v>451</v>
      </c>
      <c r="I9" s="1"/>
    </row>
    <row r="11">
      <c r="A11" s="1" t="s">
        <v>452</v>
      </c>
      <c r="B11" s="1" t="s">
        <v>257</v>
      </c>
    </row>
    <row r="12">
      <c r="A12" s="1" t="s">
        <v>448</v>
      </c>
      <c r="B12" s="1" t="s">
        <v>453</v>
      </c>
    </row>
    <row r="13">
      <c r="A13" s="1" t="s">
        <v>446</v>
      </c>
      <c r="B13" s="1" t="s">
        <v>454</v>
      </c>
    </row>
    <row r="14">
      <c r="A14" s="1" t="s">
        <v>447</v>
      </c>
    </row>
    <row r="16">
      <c r="A16" s="1" t="s">
        <v>455</v>
      </c>
      <c r="B16" s="1" t="s">
        <v>456</v>
      </c>
    </row>
    <row r="17">
      <c r="A17" s="1" t="s">
        <v>457</v>
      </c>
      <c r="B17" s="1" t="s">
        <v>458</v>
      </c>
    </row>
    <row r="18">
      <c r="A18" s="1" t="s">
        <v>459</v>
      </c>
      <c r="B18" s="1" t="s">
        <v>460</v>
      </c>
    </row>
    <row r="19">
      <c r="A19" s="1" t="s">
        <v>461</v>
      </c>
      <c r="B19" s="1" t="s">
        <v>462</v>
      </c>
    </row>
    <row r="20">
      <c r="A20" s="1"/>
    </row>
    <row r="21">
      <c r="A21" s="1" t="s">
        <v>463</v>
      </c>
    </row>
    <row r="22">
      <c r="A22" s="1"/>
    </row>
    <row r="24">
      <c r="A24" s="1" t="s">
        <v>464</v>
      </c>
      <c r="B24" s="1" t="s">
        <v>445</v>
      </c>
      <c r="C24" s="1" t="s">
        <v>465</v>
      </c>
      <c r="D24" s="1" t="s">
        <v>466</v>
      </c>
      <c r="E24" s="1"/>
      <c r="F24" s="1" t="s">
        <v>467</v>
      </c>
      <c r="G24" s="1" t="s">
        <v>468</v>
      </c>
      <c r="H24" s="1" t="s">
        <v>469</v>
      </c>
      <c r="I24" s="1" t="s">
        <v>470</v>
      </c>
      <c r="J24" s="1" t="s">
        <v>471</v>
      </c>
      <c r="K24" s="1" t="s">
        <v>472</v>
      </c>
    </row>
    <row r="25">
      <c r="A25" s="1" t="s">
        <v>455</v>
      </c>
      <c r="B25" s="1">
        <v>2.0</v>
      </c>
      <c r="C25" s="1">
        <v>1.0</v>
      </c>
      <c r="D25" s="1">
        <v>1.0</v>
      </c>
      <c r="E25" s="1"/>
      <c r="F25" s="1">
        <v>1.0</v>
      </c>
      <c r="G25" s="1">
        <v>1.0</v>
      </c>
      <c r="H25" s="1">
        <v>1.0</v>
      </c>
      <c r="I25" s="1">
        <v>1.0</v>
      </c>
      <c r="J25" s="1">
        <v>1.0</v>
      </c>
      <c r="K25" s="1">
        <v>0.0</v>
      </c>
    </row>
    <row r="26">
      <c r="A26" s="1" t="s">
        <v>457</v>
      </c>
      <c r="B26" s="1">
        <v>1.0</v>
      </c>
      <c r="C26" s="1">
        <v>1.0</v>
      </c>
      <c r="D26" s="1">
        <v>1.0</v>
      </c>
      <c r="E26" s="1"/>
      <c r="F26" s="1">
        <v>1.0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</row>
    <row r="27">
      <c r="A27" s="1" t="s">
        <v>459</v>
      </c>
      <c r="B27" s="1">
        <v>1.0</v>
      </c>
      <c r="C27" s="1">
        <v>0.0</v>
      </c>
      <c r="D27" s="1">
        <v>0.0</v>
      </c>
      <c r="E27" s="1"/>
      <c r="F27" s="1">
        <v>0.0</v>
      </c>
      <c r="G27" s="1">
        <v>0.0</v>
      </c>
      <c r="H27" s="1">
        <v>0.0</v>
      </c>
      <c r="I27" s="1">
        <v>1.0</v>
      </c>
      <c r="J27" s="1">
        <v>1.0</v>
      </c>
      <c r="K27" s="1">
        <v>1.0</v>
      </c>
    </row>
    <row r="28">
      <c r="A28" s="1" t="s">
        <v>461</v>
      </c>
      <c r="B28" s="1">
        <v>1.0</v>
      </c>
      <c r="C28" s="1">
        <v>1.0</v>
      </c>
      <c r="D28" s="1">
        <v>0.0</v>
      </c>
      <c r="F28" s="1">
        <v>2.0</v>
      </c>
      <c r="G28" s="1">
        <v>1.0</v>
      </c>
      <c r="H28" s="1">
        <v>1.0</v>
      </c>
      <c r="I28" s="1">
        <v>0.0</v>
      </c>
      <c r="J28" s="1">
        <v>0.0</v>
      </c>
      <c r="K28" s="1">
        <v>0.0</v>
      </c>
    </row>
    <row r="30">
      <c r="A30" s="1" t="s">
        <v>473</v>
      </c>
    </row>
    <row r="32">
      <c r="A32" s="1" t="s">
        <v>474</v>
      </c>
      <c r="B32" s="1" t="s">
        <v>475</v>
      </c>
      <c r="E32" s="1" t="s">
        <v>476</v>
      </c>
      <c r="F32" s="1" t="s">
        <v>477</v>
      </c>
    </row>
    <row r="33">
      <c r="B33" s="1" t="s">
        <v>455</v>
      </c>
      <c r="C33" s="1" t="s">
        <v>457</v>
      </c>
      <c r="D33" s="1" t="s">
        <v>459</v>
      </c>
      <c r="F33" s="1" t="s">
        <v>455</v>
      </c>
      <c r="G33" s="1" t="s">
        <v>457</v>
      </c>
      <c r="H33" s="1" t="s">
        <v>459</v>
      </c>
      <c r="J33" s="1" t="s">
        <v>478</v>
      </c>
    </row>
    <row r="34">
      <c r="A34" s="1" t="s">
        <v>479</v>
      </c>
      <c r="B34" s="9">
        <f>2/9</f>
        <v>0.2222222222</v>
      </c>
      <c r="C34" s="9">
        <f t="shared" ref="C34:C37" si="1">1/4</f>
        <v>0.25</v>
      </c>
      <c r="D34" s="9">
        <f>1/3</f>
        <v>0.3333333333</v>
      </c>
      <c r="E34" s="9">
        <f>LOG10(3/3)</f>
        <v>0</v>
      </c>
      <c r="F34" s="9">
        <f t="shared" ref="F34:F41" si="2">B34*E34</f>
        <v>0</v>
      </c>
      <c r="G34" s="9">
        <f t="shared" ref="G34:G41" si="3">C34*E34</f>
        <v>0</v>
      </c>
      <c r="H34" s="9">
        <f t="shared" ref="H34:H41" si="4">D34*E34</f>
        <v>0</v>
      </c>
      <c r="J34" s="9">
        <f>LN(3/3)</f>
        <v>0</v>
      </c>
    </row>
    <row r="35">
      <c r="A35" s="1" t="s">
        <v>465</v>
      </c>
      <c r="B35" s="9">
        <f t="shared" ref="B35:B41" si="5">1/9</f>
        <v>0.1111111111</v>
      </c>
      <c r="C35" s="9">
        <f t="shared" si="1"/>
        <v>0.25</v>
      </c>
      <c r="D35" s="1">
        <f t="shared" ref="D35:D39" si="6">0/3</f>
        <v>0</v>
      </c>
      <c r="E35" s="9">
        <f t="shared" ref="E35:E37" si="7">LOG10(3/2)</f>
        <v>0.1760912591</v>
      </c>
      <c r="F35" s="9">
        <f t="shared" si="2"/>
        <v>0.01956569545</v>
      </c>
      <c r="G35" s="9">
        <f t="shared" si="3"/>
        <v>0.04402281476</v>
      </c>
      <c r="H35" s="9">
        <f t="shared" si="4"/>
        <v>0</v>
      </c>
      <c r="J35" s="9">
        <f t="shared" ref="J35:J37" si="8">LN(3/2)</f>
        <v>0.4054651081</v>
      </c>
    </row>
    <row r="36">
      <c r="A36" s="1" t="s">
        <v>466</v>
      </c>
      <c r="B36" s="9">
        <f t="shared" si="5"/>
        <v>0.1111111111</v>
      </c>
      <c r="C36" s="9">
        <f t="shared" si="1"/>
        <v>0.25</v>
      </c>
      <c r="D36" s="1">
        <f t="shared" si="6"/>
        <v>0</v>
      </c>
      <c r="E36" s="9">
        <f t="shared" si="7"/>
        <v>0.1760912591</v>
      </c>
      <c r="F36" s="9">
        <f t="shared" si="2"/>
        <v>0.01956569545</v>
      </c>
      <c r="G36" s="9">
        <f t="shared" si="3"/>
        <v>0.04402281476</v>
      </c>
      <c r="H36" s="9">
        <f t="shared" si="4"/>
        <v>0</v>
      </c>
      <c r="J36" s="9">
        <f t="shared" si="8"/>
        <v>0.4054651081</v>
      </c>
    </row>
    <row r="37">
      <c r="A37" s="1" t="s">
        <v>467</v>
      </c>
      <c r="B37" s="9">
        <f t="shared" si="5"/>
        <v>0.1111111111</v>
      </c>
      <c r="C37" s="9">
        <f t="shared" si="1"/>
        <v>0.25</v>
      </c>
      <c r="D37" s="1">
        <f t="shared" si="6"/>
        <v>0</v>
      </c>
      <c r="E37" s="9">
        <f t="shared" si="7"/>
        <v>0.1760912591</v>
      </c>
      <c r="F37" s="9">
        <f t="shared" si="2"/>
        <v>0.01956569545</v>
      </c>
      <c r="G37" s="9">
        <f t="shared" si="3"/>
        <v>0.04402281476</v>
      </c>
      <c r="H37" s="9">
        <f t="shared" si="4"/>
        <v>0</v>
      </c>
      <c r="J37" s="9">
        <f t="shared" si="8"/>
        <v>0.4054651081</v>
      </c>
    </row>
    <row r="38">
      <c r="A38" s="1" t="s">
        <v>480</v>
      </c>
      <c r="B38" s="9">
        <f t="shared" si="5"/>
        <v>0.1111111111</v>
      </c>
      <c r="C38" s="9">
        <f t="shared" ref="C38:C41" si="9">0/4</f>
        <v>0</v>
      </c>
      <c r="D38" s="1">
        <f t="shared" si="6"/>
        <v>0</v>
      </c>
      <c r="E38" s="9">
        <f t="shared" ref="E38:E39" si="10">LOG10(3/1)</f>
        <v>0.4771212547</v>
      </c>
      <c r="F38" s="9">
        <f t="shared" si="2"/>
        <v>0.05301347275</v>
      </c>
      <c r="G38" s="9">
        <f t="shared" si="3"/>
        <v>0</v>
      </c>
      <c r="H38" s="9">
        <f t="shared" si="4"/>
        <v>0</v>
      </c>
      <c r="J38" s="9">
        <f t="shared" ref="J38:J39" si="11">LN(3/1)</f>
        <v>1.098612289</v>
      </c>
    </row>
    <row r="39">
      <c r="A39" s="1" t="s">
        <v>469</v>
      </c>
      <c r="B39" s="9">
        <f t="shared" si="5"/>
        <v>0.1111111111</v>
      </c>
      <c r="C39" s="9">
        <f t="shared" si="9"/>
        <v>0</v>
      </c>
      <c r="D39" s="1">
        <f t="shared" si="6"/>
        <v>0</v>
      </c>
      <c r="E39" s="9">
        <f t="shared" si="10"/>
        <v>0.4771212547</v>
      </c>
      <c r="F39" s="9">
        <f t="shared" si="2"/>
        <v>0.05301347275</v>
      </c>
      <c r="G39" s="9">
        <f t="shared" si="3"/>
        <v>0</v>
      </c>
      <c r="H39" s="9">
        <f t="shared" si="4"/>
        <v>0</v>
      </c>
      <c r="J39" s="9">
        <f t="shared" si="11"/>
        <v>1.098612289</v>
      </c>
    </row>
    <row r="40">
      <c r="A40" s="1" t="s">
        <v>470</v>
      </c>
      <c r="B40" s="9">
        <f t="shared" si="5"/>
        <v>0.1111111111</v>
      </c>
      <c r="C40" s="9">
        <f t="shared" si="9"/>
        <v>0</v>
      </c>
      <c r="D40" s="1">
        <f t="shared" ref="D40:D41" si="12">1/3</f>
        <v>0.3333333333</v>
      </c>
      <c r="E40" s="9">
        <f t="shared" ref="E40:E41" si="13">LOG10(3/2)</f>
        <v>0.1760912591</v>
      </c>
      <c r="F40" s="9">
        <f t="shared" si="2"/>
        <v>0.01956569545</v>
      </c>
      <c r="G40" s="9">
        <f t="shared" si="3"/>
        <v>0</v>
      </c>
      <c r="H40" s="9">
        <f t="shared" si="4"/>
        <v>0.05869708635</v>
      </c>
      <c r="J40" s="9">
        <f t="shared" ref="J40:J41" si="14">LN(3/2)</f>
        <v>0.4054651081</v>
      </c>
    </row>
    <row r="41">
      <c r="A41" s="1" t="s">
        <v>471</v>
      </c>
      <c r="B41" s="9">
        <f t="shared" si="5"/>
        <v>0.1111111111</v>
      </c>
      <c r="C41" s="9">
        <f t="shared" si="9"/>
        <v>0</v>
      </c>
      <c r="D41" s="1">
        <f t="shared" si="12"/>
        <v>0.3333333333</v>
      </c>
      <c r="E41" s="9">
        <f t="shared" si="13"/>
        <v>0.1760912591</v>
      </c>
      <c r="F41" s="9">
        <f t="shared" si="2"/>
        <v>0.01956569545</v>
      </c>
      <c r="G41" s="9">
        <f t="shared" si="3"/>
        <v>0</v>
      </c>
      <c r="H41" s="9">
        <f t="shared" si="4"/>
        <v>0.05869708635</v>
      </c>
      <c r="J41" s="9">
        <f t="shared" si="14"/>
        <v>0.4054651081</v>
      </c>
    </row>
    <row r="42">
      <c r="A42" s="1" t="s">
        <v>472</v>
      </c>
    </row>
    <row r="46">
      <c r="A46" s="1" t="s">
        <v>476</v>
      </c>
      <c r="B46" s="1" t="s">
        <v>481</v>
      </c>
    </row>
    <row r="50">
      <c r="A50" s="1" t="s">
        <v>482</v>
      </c>
    </row>
    <row r="51">
      <c r="A51" s="1" t="s">
        <v>483</v>
      </c>
    </row>
  </sheetData>
  <mergeCells count="3">
    <mergeCell ref="B32:D32"/>
    <mergeCell ref="E32:E33"/>
    <mergeCell ref="F32:I3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</cols>
  <sheetData>
    <row r="1">
      <c r="B1" s="1" t="s">
        <v>484</v>
      </c>
    </row>
    <row r="2">
      <c r="A2" s="1">
        <v>1.0</v>
      </c>
      <c r="B2" s="1" t="s">
        <v>485</v>
      </c>
      <c r="C2" s="1" t="s">
        <v>486</v>
      </c>
    </row>
    <row r="3">
      <c r="A3" s="1">
        <v>2.0</v>
      </c>
      <c r="B3" s="1" t="s">
        <v>487</v>
      </c>
    </row>
    <row r="4">
      <c r="A4" s="1">
        <v>3.0</v>
      </c>
      <c r="B4" s="1" t="s">
        <v>488</v>
      </c>
      <c r="C4" s="62" t="s">
        <v>489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4.13"/>
    <col customWidth="1" min="3" max="3" width="13.25"/>
    <col customWidth="1" min="4" max="4" width="13.38"/>
    <col customWidth="1" min="6" max="6" width="5.5"/>
    <col customWidth="1" min="7" max="7" width="14.13"/>
    <col customWidth="1" min="8" max="8" width="13.25"/>
    <col customWidth="1" min="9" max="9" width="13.38"/>
  </cols>
  <sheetData>
    <row r="1">
      <c r="A1" s="1"/>
      <c r="B1" s="1" t="s">
        <v>490</v>
      </c>
      <c r="D1" s="1"/>
      <c r="F1" s="1"/>
      <c r="G1" s="1" t="s">
        <v>491</v>
      </c>
      <c r="I1" s="1"/>
    </row>
    <row r="2">
      <c r="A2" s="1"/>
      <c r="B2" s="1"/>
      <c r="C2" s="1"/>
      <c r="D2" s="1"/>
      <c r="F2" s="1"/>
      <c r="G2" s="1"/>
      <c r="H2" s="1"/>
      <c r="I2" s="1"/>
    </row>
    <row r="3">
      <c r="A3" s="3" t="s">
        <v>492</v>
      </c>
      <c r="B3" s="3" t="s">
        <v>493</v>
      </c>
      <c r="C3" s="3" t="s">
        <v>494</v>
      </c>
      <c r="D3" s="3" t="s">
        <v>495</v>
      </c>
      <c r="F3" s="3" t="s">
        <v>492</v>
      </c>
      <c r="G3" s="3" t="s">
        <v>493</v>
      </c>
      <c r="H3" s="3" t="s">
        <v>494</v>
      </c>
      <c r="I3" s="3" t="s">
        <v>496</v>
      </c>
      <c r="K3" s="1" t="s">
        <v>497</v>
      </c>
      <c r="L3" s="1" t="s">
        <v>498</v>
      </c>
      <c r="N3" s="1">
        <v>20000.0</v>
      </c>
      <c r="O3" s="1">
        <v>19998.0</v>
      </c>
      <c r="P3" s="1">
        <v>20000.0</v>
      </c>
    </row>
    <row r="4">
      <c r="A4" s="63" t="s">
        <v>499</v>
      </c>
      <c r="B4" s="63" t="s">
        <v>500</v>
      </c>
      <c r="C4" s="63" t="s">
        <v>501</v>
      </c>
      <c r="D4" s="63" t="s">
        <v>502</v>
      </c>
      <c r="F4" s="3" t="s">
        <v>503</v>
      </c>
      <c r="G4" s="3" t="s">
        <v>500</v>
      </c>
      <c r="H4" s="3" t="s">
        <v>501</v>
      </c>
      <c r="I4" s="3"/>
      <c r="K4" s="1" t="s">
        <v>504</v>
      </c>
      <c r="L4" s="1" t="s">
        <v>505</v>
      </c>
      <c r="N4" s="9">
        <f>N3-2</f>
        <v>19998</v>
      </c>
    </row>
    <row r="5">
      <c r="A5" s="63" t="s">
        <v>506</v>
      </c>
      <c r="B5" s="63" t="s">
        <v>507</v>
      </c>
      <c r="C5" s="63" t="s">
        <v>505</v>
      </c>
      <c r="D5" s="63" t="s">
        <v>508</v>
      </c>
      <c r="F5" s="3" t="s">
        <v>506</v>
      </c>
      <c r="G5" s="3" t="s">
        <v>507</v>
      </c>
      <c r="H5" s="3" t="s">
        <v>505</v>
      </c>
      <c r="I5" s="3"/>
      <c r="K5" s="1" t="s">
        <v>509</v>
      </c>
      <c r="L5" s="1" t="s">
        <v>501</v>
      </c>
    </row>
    <row r="6">
      <c r="A6" s="64"/>
      <c r="B6" s="64"/>
      <c r="C6" s="64"/>
      <c r="D6" s="64"/>
      <c r="F6" s="8"/>
      <c r="G6" s="8"/>
      <c r="H6" s="8"/>
      <c r="I6" s="8"/>
      <c r="K6" s="1" t="s">
        <v>504</v>
      </c>
      <c r="L6" s="1" t="s">
        <v>505</v>
      </c>
    </row>
    <row r="7">
      <c r="A7" s="64"/>
      <c r="B7" s="64"/>
      <c r="C7" s="64"/>
      <c r="D7" s="64"/>
      <c r="F7" s="8"/>
      <c r="G7" s="8"/>
      <c r="H7" s="8"/>
      <c r="I7" s="8"/>
      <c r="K7" s="1" t="s">
        <v>504</v>
      </c>
      <c r="L7" s="1" t="s">
        <v>505</v>
      </c>
    </row>
    <row r="8">
      <c r="A8" s="64"/>
      <c r="B8" s="64"/>
      <c r="C8" s="64"/>
      <c r="D8" s="64"/>
      <c r="F8" s="8"/>
      <c r="G8" s="8"/>
      <c r="H8" s="8"/>
      <c r="I8" s="8"/>
      <c r="K8" s="1" t="s">
        <v>509</v>
      </c>
      <c r="L8" s="1" t="s">
        <v>505</v>
      </c>
    </row>
    <row r="9">
      <c r="A9" s="64"/>
      <c r="B9" s="64"/>
      <c r="C9" s="64"/>
      <c r="D9" s="64"/>
      <c r="F9" s="8"/>
      <c r="G9" s="8"/>
      <c r="H9" s="8"/>
      <c r="I9" s="8"/>
    </row>
    <row r="10">
      <c r="A10" s="64"/>
      <c r="B10" s="64"/>
      <c r="C10" s="64"/>
      <c r="D10" s="64"/>
      <c r="F10" s="8"/>
      <c r="G10" s="8"/>
      <c r="H10" s="8"/>
      <c r="I10" s="8"/>
      <c r="K10" s="1" t="s">
        <v>510</v>
      </c>
    </row>
    <row r="11">
      <c r="A11" s="65"/>
      <c r="B11" s="65"/>
      <c r="C11" s="65"/>
      <c r="D11" s="65"/>
      <c r="F11" s="8"/>
      <c r="G11" s="8"/>
      <c r="H11" s="8"/>
      <c r="I11" s="8"/>
    </row>
    <row r="12">
      <c r="A12" s="65"/>
      <c r="B12" s="65"/>
      <c r="C12" s="65"/>
      <c r="D12" s="65"/>
      <c r="F12" s="8"/>
      <c r="G12" s="8"/>
      <c r="H12" s="8"/>
      <c r="I12" s="8"/>
      <c r="K12" s="1" t="s">
        <v>511</v>
      </c>
    </row>
    <row r="15">
      <c r="B15" s="1" t="s">
        <v>512</v>
      </c>
      <c r="G15" s="1" t="s">
        <v>513</v>
      </c>
    </row>
    <row r="17">
      <c r="B17" s="1" t="s">
        <v>514</v>
      </c>
      <c r="G17" s="1" t="s">
        <v>515</v>
      </c>
    </row>
    <row r="18">
      <c r="G18" s="2" t="s">
        <v>516</v>
      </c>
    </row>
    <row r="19">
      <c r="G19" s="2" t="s">
        <v>517</v>
      </c>
      <c r="J19" s="2" t="s">
        <v>518</v>
      </c>
    </row>
    <row r="20">
      <c r="J20" s="1" t="s">
        <v>519</v>
      </c>
    </row>
    <row r="21">
      <c r="A21" s="1" t="s">
        <v>520</v>
      </c>
      <c r="B21" s="1" t="s">
        <v>521</v>
      </c>
    </row>
    <row r="22">
      <c r="A22" s="1">
        <v>1.0</v>
      </c>
      <c r="B22" s="1" t="s">
        <v>522</v>
      </c>
    </row>
    <row r="23">
      <c r="A23" s="1">
        <v>2.0</v>
      </c>
      <c r="B23" s="1" t="s">
        <v>523</v>
      </c>
      <c r="G23" s="1" t="s">
        <v>524</v>
      </c>
    </row>
    <row r="24">
      <c r="A24" s="1">
        <v>3.0</v>
      </c>
      <c r="B24" s="1" t="s">
        <v>525</v>
      </c>
      <c r="G24" s="1"/>
    </row>
    <row r="25">
      <c r="A25" s="1">
        <v>4.0</v>
      </c>
      <c r="B25" s="1" t="s">
        <v>526</v>
      </c>
    </row>
    <row r="26">
      <c r="A26" s="1">
        <v>5.0</v>
      </c>
      <c r="B26" s="1" t="s">
        <v>493</v>
      </c>
    </row>
    <row r="27">
      <c r="A27" s="1">
        <v>6.0</v>
      </c>
      <c r="B27" s="1" t="s">
        <v>527</v>
      </c>
    </row>
    <row r="28">
      <c r="A28" s="1">
        <v>7.0</v>
      </c>
      <c r="B28" s="1" t="s">
        <v>528</v>
      </c>
      <c r="G28" s="1" t="s">
        <v>529</v>
      </c>
      <c r="H28" s="1" t="s">
        <v>257</v>
      </c>
      <c r="I28" s="1" t="s">
        <v>530</v>
      </c>
    </row>
    <row r="29">
      <c r="A29" s="1">
        <v>8.0</v>
      </c>
      <c r="B29" s="1" t="s">
        <v>531</v>
      </c>
      <c r="G29" s="1">
        <v>1.0</v>
      </c>
      <c r="H29" s="1">
        <v>1.0</v>
      </c>
    </row>
    <row r="30">
      <c r="A30" s="1">
        <v>9.0</v>
      </c>
      <c r="B30" s="1" t="s">
        <v>532</v>
      </c>
      <c r="G30" s="1">
        <v>2.0</v>
      </c>
      <c r="H30" s="1">
        <v>4.0</v>
      </c>
    </row>
    <row r="31">
      <c r="A31" s="1">
        <v>10.0</v>
      </c>
      <c r="B31" s="1" t="s">
        <v>533</v>
      </c>
      <c r="G31" s="1">
        <v>3.0</v>
      </c>
      <c r="H31" s="1">
        <v>9.0</v>
      </c>
    </row>
    <row r="32">
      <c r="A32" s="1">
        <v>11.0</v>
      </c>
      <c r="B32" s="1" t="s">
        <v>534</v>
      </c>
      <c r="G32" s="1">
        <v>4.0</v>
      </c>
      <c r="H32" s="1">
        <v>16.0</v>
      </c>
    </row>
    <row r="33">
      <c r="G33" s="1">
        <v>6.0</v>
      </c>
      <c r="H33" s="9">
        <f t="shared" ref="H33:H39" si="1">G33*G33</f>
        <v>36</v>
      </c>
    </row>
    <row r="34">
      <c r="G34" s="1">
        <v>8.0</v>
      </c>
      <c r="H34" s="9">
        <f t="shared" si="1"/>
        <v>64</v>
      </c>
    </row>
    <row r="35">
      <c r="G35" s="1">
        <v>23.0</v>
      </c>
      <c r="H35" s="9">
        <f t="shared" si="1"/>
        <v>529</v>
      </c>
      <c r="L35" s="1" t="s">
        <v>535</v>
      </c>
    </row>
    <row r="36">
      <c r="H36" s="9">
        <f t="shared" si="1"/>
        <v>0</v>
      </c>
      <c r="L36" s="1" t="s">
        <v>536</v>
      </c>
    </row>
    <row r="37">
      <c r="H37" s="9">
        <f t="shared" si="1"/>
        <v>0</v>
      </c>
    </row>
    <row r="38">
      <c r="H38" s="9">
        <f t="shared" si="1"/>
        <v>0</v>
      </c>
    </row>
    <row r="39">
      <c r="H39" s="9">
        <f t="shared" si="1"/>
        <v>0</v>
      </c>
    </row>
  </sheetData>
  <mergeCells count="2">
    <mergeCell ref="B1:C1"/>
    <mergeCell ref="G1:H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4.13"/>
    <col customWidth="1" min="3" max="3" width="13.25"/>
    <col customWidth="1" min="4" max="4" width="13.38"/>
    <col customWidth="1" min="8" max="8" width="14.13"/>
    <col customWidth="1" min="10" max="10" width="13.38"/>
  </cols>
  <sheetData>
    <row r="2">
      <c r="A2" s="66" t="s">
        <v>537</v>
      </c>
    </row>
    <row r="4">
      <c r="A4" s="3" t="s">
        <v>492</v>
      </c>
      <c r="B4" s="3" t="s">
        <v>493</v>
      </c>
      <c r="C4" s="3" t="s">
        <v>494</v>
      </c>
      <c r="D4" s="3" t="s">
        <v>496</v>
      </c>
      <c r="G4" s="3" t="s">
        <v>492</v>
      </c>
      <c r="H4" s="3" t="s">
        <v>493</v>
      </c>
      <c r="I4" s="3" t="s">
        <v>494</v>
      </c>
      <c r="J4" s="3" t="s">
        <v>496</v>
      </c>
    </row>
    <row r="5">
      <c r="A5" s="63" t="s">
        <v>499</v>
      </c>
      <c r="B5" s="63" t="s">
        <v>500</v>
      </c>
      <c r="C5" s="63" t="s">
        <v>501</v>
      </c>
      <c r="D5" s="63" t="s">
        <v>502</v>
      </c>
      <c r="G5" s="63" t="s">
        <v>499</v>
      </c>
      <c r="H5" s="63" t="s">
        <v>500</v>
      </c>
      <c r="I5" s="63" t="s">
        <v>501</v>
      </c>
      <c r="J5" s="63" t="s">
        <v>502</v>
      </c>
    </row>
    <row r="6">
      <c r="A6" s="63" t="s">
        <v>506</v>
      </c>
      <c r="B6" s="63" t="s">
        <v>507</v>
      </c>
      <c r="C6" s="63" t="s">
        <v>505</v>
      </c>
      <c r="D6" s="63" t="s">
        <v>508</v>
      </c>
      <c r="G6" s="63" t="s">
        <v>506</v>
      </c>
      <c r="H6" s="63" t="s">
        <v>507</v>
      </c>
      <c r="I6" s="63" t="s">
        <v>505</v>
      </c>
      <c r="J6" s="63" t="s">
        <v>508</v>
      </c>
    </row>
    <row r="7">
      <c r="A7" s="64"/>
      <c r="B7" s="64"/>
      <c r="C7" s="64"/>
      <c r="D7" s="64"/>
      <c r="G7" s="64"/>
      <c r="H7" s="64"/>
      <c r="I7" s="64"/>
      <c r="J7" s="64"/>
    </row>
    <row r="8">
      <c r="A8" s="64"/>
      <c r="B8" s="64"/>
      <c r="C8" s="64"/>
      <c r="D8" s="64"/>
      <c r="G8" s="64"/>
      <c r="H8" s="64"/>
      <c r="I8" s="64"/>
      <c r="J8" s="64"/>
    </row>
    <row r="9">
      <c r="A9" s="64"/>
      <c r="B9" s="64"/>
      <c r="C9" s="64"/>
      <c r="D9" s="64"/>
      <c r="G9" s="64"/>
      <c r="H9" s="64"/>
      <c r="I9" s="64"/>
      <c r="J9" s="64"/>
    </row>
    <row r="10">
      <c r="A10" s="64"/>
      <c r="B10" s="64"/>
      <c r="C10" s="64"/>
      <c r="D10" s="64"/>
      <c r="G10" s="67"/>
      <c r="H10" s="67"/>
      <c r="I10" s="67"/>
      <c r="J10" s="67"/>
    </row>
    <row r="11">
      <c r="A11" s="64"/>
      <c r="B11" s="64"/>
      <c r="C11" s="64"/>
      <c r="D11" s="64"/>
      <c r="G11" s="67"/>
      <c r="H11" s="67"/>
      <c r="I11" s="67"/>
      <c r="J11" s="67"/>
    </row>
    <row r="12">
      <c r="A12" s="65"/>
      <c r="B12" s="65"/>
      <c r="C12" s="65"/>
      <c r="D12" s="65"/>
      <c r="G12" s="65"/>
      <c r="H12" s="65"/>
      <c r="I12" s="65"/>
      <c r="J12" s="65"/>
    </row>
    <row r="13">
      <c r="A13" s="65"/>
      <c r="B13" s="65"/>
      <c r="C13" s="65"/>
      <c r="D13" s="65"/>
      <c r="G13" s="65"/>
      <c r="H13" s="65"/>
      <c r="I13" s="65"/>
      <c r="J13" s="65"/>
    </row>
    <row r="16">
      <c r="A16" s="68"/>
      <c r="B16" s="1" t="s">
        <v>538</v>
      </c>
      <c r="G16" s="68"/>
      <c r="H16" s="1" t="s">
        <v>538</v>
      </c>
      <c r="I16" s="36">
        <v>0.7</v>
      </c>
    </row>
    <row r="17">
      <c r="G17" s="69"/>
      <c r="H17" s="1" t="s">
        <v>539</v>
      </c>
      <c r="I17" s="36">
        <v>0.15</v>
      </c>
    </row>
    <row r="18">
      <c r="A18" s="70"/>
      <c r="B18" s="1" t="s">
        <v>540</v>
      </c>
      <c r="G18" s="70"/>
      <c r="H18" s="1" t="s">
        <v>540</v>
      </c>
      <c r="I18" s="36">
        <v>0.15</v>
      </c>
    </row>
    <row r="20">
      <c r="G20" s="1" t="s">
        <v>541</v>
      </c>
      <c r="H20" s="1" t="s">
        <v>542</v>
      </c>
      <c r="J20" s="1" t="s">
        <v>543</v>
      </c>
    </row>
    <row r="21">
      <c r="G21" s="1" t="s">
        <v>544</v>
      </c>
      <c r="H21" s="1" t="s">
        <v>545</v>
      </c>
      <c r="J21" s="1" t="s">
        <v>543</v>
      </c>
    </row>
    <row r="22">
      <c r="G22" s="1" t="s">
        <v>546</v>
      </c>
      <c r="H22" s="1" t="s">
        <v>547</v>
      </c>
      <c r="J22" s="1" t="s">
        <v>543</v>
      </c>
    </row>
    <row r="23">
      <c r="G23" s="1" t="s">
        <v>548</v>
      </c>
      <c r="H23" s="1" t="s">
        <v>549</v>
      </c>
      <c r="I23" s="1" t="s">
        <v>550</v>
      </c>
      <c r="J23" s="1" t="s">
        <v>543</v>
      </c>
    </row>
    <row r="24">
      <c r="G24" s="1" t="s">
        <v>551</v>
      </c>
      <c r="H24" s="1" t="s">
        <v>552</v>
      </c>
      <c r="J24" s="1" t="s">
        <v>543</v>
      </c>
    </row>
    <row r="26">
      <c r="G26" s="1" t="s">
        <v>553</v>
      </c>
    </row>
    <row r="28">
      <c r="G28" s="1" t="s">
        <v>554</v>
      </c>
    </row>
    <row r="30">
      <c r="G30" s="2" t="s">
        <v>555</v>
      </c>
    </row>
    <row r="34">
      <c r="G34" s="1" t="s">
        <v>556</v>
      </c>
      <c r="H34" s="1" t="s">
        <v>557</v>
      </c>
      <c r="I34" s="1" t="s">
        <v>558</v>
      </c>
      <c r="J34" s="1" t="s">
        <v>559</v>
      </c>
    </row>
    <row r="35">
      <c r="G35" s="1">
        <v>23.0</v>
      </c>
      <c r="H35" s="1">
        <v>21.0</v>
      </c>
      <c r="I35" s="9">
        <f t="shared" ref="I35:I40" si="1">G35-H35</f>
        <v>2</v>
      </c>
      <c r="J35" s="9">
        <f t="shared" ref="J35:J40" si="2">I35*I35</f>
        <v>4</v>
      </c>
    </row>
    <row r="36">
      <c r="G36" s="1">
        <v>45.0</v>
      </c>
      <c r="H36" s="1">
        <v>48.0</v>
      </c>
      <c r="I36" s="9">
        <f t="shared" si="1"/>
        <v>-3</v>
      </c>
      <c r="J36" s="9">
        <f t="shared" si="2"/>
        <v>9</v>
      </c>
    </row>
    <row r="37">
      <c r="G37" s="1">
        <v>23.5</v>
      </c>
      <c r="H37" s="1">
        <v>26.0</v>
      </c>
      <c r="I37" s="9">
        <f t="shared" si="1"/>
        <v>-2.5</v>
      </c>
      <c r="J37" s="9">
        <f t="shared" si="2"/>
        <v>6.25</v>
      </c>
    </row>
    <row r="38">
      <c r="G38" s="1">
        <v>67.0</v>
      </c>
      <c r="H38" s="1">
        <v>70.0</v>
      </c>
      <c r="I38" s="9">
        <f t="shared" si="1"/>
        <v>-3</v>
      </c>
      <c r="J38" s="9">
        <f t="shared" si="2"/>
        <v>9</v>
      </c>
    </row>
    <row r="39">
      <c r="G39" s="1">
        <v>35.0</v>
      </c>
      <c r="H39" s="1">
        <v>40.0</v>
      </c>
      <c r="I39" s="9">
        <f t="shared" si="1"/>
        <v>-5</v>
      </c>
      <c r="J39" s="9">
        <f t="shared" si="2"/>
        <v>25</v>
      </c>
    </row>
    <row r="40">
      <c r="G40" s="1">
        <v>45.8</v>
      </c>
      <c r="H40" s="1">
        <v>49.0</v>
      </c>
      <c r="I40" s="9">
        <f t="shared" si="1"/>
        <v>-3.2</v>
      </c>
      <c r="J40" s="9">
        <f t="shared" si="2"/>
        <v>10.24</v>
      </c>
    </row>
    <row r="42">
      <c r="I42" s="1" t="s">
        <v>560</v>
      </c>
      <c r="J42" s="9">
        <f>AVERAGE(J35:J40)</f>
        <v>10.58166667</v>
      </c>
    </row>
    <row r="43">
      <c r="I43" s="1" t="s">
        <v>561</v>
      </c>
      <c r="J43" s="9">
        <f>SQRT(J42)</f>
        <v>3.252947381</v>
      </c>
    </row>
  </sheetData>
  <mergeCells count="1">
    <mergeCell ref="A2:D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38"/>
  </cols>
  <sheetData>
    <row r="1">
      <c r="A1" s="1" t="s">
        <v>562</v>
      </c>
    </row>
    <row r="2">
      <c r="A2" s="1" t="s">
        <v>563</v>
      </c>
    </row>
    <row r="3">
      <c r="A3" s="1" t="s">
        <v>564</v>
      </c>
    </row>
    <row r="4">
      <c r="F4" s="68"/>
      <c r="G4" s="1" t="s">
        <v>538</v>
      </c>
    </row>
    <row r="5">
      <c r="A5" s="2" t="s">
        <v>563</v>
      </c>
      <c r="F5" s="25"/>
    </row>
    <row r="6">
      <c r="F6" s="70"/>
      <c r="G6" s="1" t="s">
        <v>543</v>
      </c>
    </row>
    <row r="8">
      <c r="A8" s="3" t="s">
        <v>492</v>
      </c>
      <c r="B8" s="3" t="s">
        <v>493</v>
      </c>
      <c r="C8" s="3" t="s">
        <v>494</v>
      </c>
      <c r="D8" s="3" t="s">
        <v>496</v>
      </c>
      <c r="F8" s="3" t="s">
        <v>492</v>
      </c>
      <c r="G8" s="3" t="s">
        <v>493</v>
      </c>
      <c r="H8" s="3" t="s">
        <v>494</v>
      </c>
      <c r="I8" s="3" t="s">
        <v>496</v>
      </c>
      <c r="K8" s="3" t="s">
        <v>492</v>
      </c>
      <c r="L8" s="3" t="s">
        <v>493</v>
      </c>
      <c r="M8" s="3" t="s">
        <v>494</v>
      </c>
      <c r="N8" s="3" t="s">
        <v>496</v>
      </c>
      <c r="P8" s="3" t="s">
        <v>492</v>
      </c>
      <c r="Q8" s="3" t="s">
        <v>493</v>
      </c>
      <c r="R8" s="3" t="s">
        <v>494</v>
      </c>
      <c r="S8" s="3" t="s">
        <v>496</v>
      </c>
    </row>
    <row r="9">
      <c r="A9" s="63"/>
      <c r="B9" s="63"/>
      <c r="C9" s="63"/>
      <c r="D9" s="63"/>
      <c r="F9" s="63"/>
      <c r="G9" s="63"/>
      <c r="H9" s="63"/>
      <c r="I9" s="63"/>
      <c r="K9" s="63"/>
      <c r="L9" s="63"/>
      <c r="M9" s="63"/>
      <c r="N9" s="63"/>
      <c r="P9" s="65"/>
      <c r="Q9" s="65"/>
      <c r="R9" s="65"/>
      <c r="S9" s="65"/>
    </row>
    <row r="10">
      <c r="A10" s="63"/>
      <c r="B10" s="63"/>
      <c r="C10" s="63"/>
      <c r="D10" s="63"/>
      <c r="F10" s="63"/>
      <c r="G10" s="63"/>
      <c r="H10" s="63"/>
      <c r="I10" s="63"/>
      <c r="K10" s="63"/>
      <c r="L10" s="63"/>
      <c r="M10" s="63"/>
      <c r="N10" s="63"/>
      <c r="P10" s="63"/>
      <c r="Q10" s="63"/>
      <c r="R10" s="63"/>
      <c r="S10" s="63"/>
    </row>
    <row r="11">
      <c r="A11" s="64"/>
      <c r="B11" s="64"/>
      <c r="C11" s="64"/>
      <c r="D11" s="64"/>
      <c r="F11" s="64"/>
      <c r="G11" s="64"/>
      <c r="H11" s="64"/>
      <c r="I11" s="64"/>
      <c r="K11" s="64"/>
      <c r="L11" s="64"/>
      <c r="M11" s="64"/>
      <c r="N11" s="64"/>
      <c r="P11" s="64"/>
      <c r="Q11" s="64"/>
      <c r="R11" s="64"/>
      <c r="S11" s="64"/>
    </row>
    <row r="12">
      <c r="A12" s="64"/>
      <c r="B12" s="64"/>
      <c r="C12" s="64"/>
      <c r="D12" s="64"/>
      <c r="F12" s="64"/>
      <c r="G12" s="64"/>
      <c r="H12" s="64"/>
      <c r="I12" s="64"/>
      <c r="K12" s="64"/>
      <c r="L12" s="64"/>
      <c r="M12" s="64"/>
      <c r="N12" s="64"/>
      <c r="P12" s="64"/>
      <c r="Q12" s="64"/>
      <c r="R12" s="64"/>
      <c r="S12" s="64"/>
    </row>
    <row r="13">
      <c r="A13" s="64"/>
      <c r="B13" s="64"/>
      <c r="C13" s="64"/>
      <c r="D13" s="64"/>
      <c r="F13" s="64"/>
      <c r="G13" s="64"/>
      <c r="H13" s="64"/>
      <c r="I13" s="64"/>
      <c r="K13" s="64"/>
      <c r="L13" s="64"/>
      <c r="M13" s="64"/>
      <c r="N13" s="64"/>
      <c r="P13" s="64"/>
      <c r="Q13" s="64"/>
      <c r="R13" s="64"/>
      <c r="S13" s="64"/>
    </row>
    <row r="14">
      <c r="A14" s="64"/>
      <c r="B14" s="64"/>
      <c r="C14" s="64"/>
      <c r="D14" s="64"/>
      <c r="F14" s="64"/>
      <c r="G14" s="64"/>
      <c r="H14" s="64"/>
      <c r="I14" s="64"/>
      <c r="K14" s="64"/>
      <c r="L14" s="64"/>
      <c r="M14" s="64"/>
      <c r="N14" s="64"/>
      <c r="P14" s="64"/>
      <c r="Q14" s="64"/>
      <c r="R14" s="64"/>
      <c r="S14" s="64"/>
    </row>
    <row r="15">
      <c r="A15" s="64"/>
      <c r="B15" s="64"/>
      <c r="C15" s="64"/>
      <c r="D15" s="64"/>
      <c r="F15" s="64"/>
      <c r="G15" s="64"/>
      <c r="H15" s="64"/>
      <c r="I15" s="64"/>
      <c r="K15" s="65"/>
      <c r="L15" s="65"/>
      <c r="M15" s="65"/>
      <c r="N15" s="65"/>
      <c r="P15" s="64"/>
      <c r="Q15" s="64"/>
      <c r="R15" s="64"/>
      <c r="S15" s="64"/>
    </row>
    <row r="16">
      <c r="A16" s="64"/>
      <c r="B16" s="64"/>
      <c r="C16" s="64"/>
      <c r="D16" s="64"/>
      <c r="F16" s="65"/>
      <c r="G16" s="65"/>
      <c r="H16" s="65"/>
      <c r="I16" s="65"/>
      <c r="K16" s="64"/>
      <c r="L16" s="64"/>
      <c r="M16" s="64"/>
      <c r="N16" s="64"/>
      <c r="P16" s="64"/>
      <c r="Q16" s="64"/>
      <c r="R16" s="64"/>
      <c r="S16" s="64"/>
    </row>
    <row r="17">
      <c r="A17" s="65"/>
      <c r="B17" s="65"/>
      <c r="C17" s="65"/>
      <c r="D17" s="65"/>
      <c r="F17" s="64"/>
      <c r="G17" s="64"/>
      <c r="H17" s="64"/>
      <c r="I17" s="64"/>
      <c r="K17" s="64"/>
      <c r="L17" s="64"/>
      <c r="M17" s="64"/>
      <c r="N17" s="64"/>
      <c r="P17" s="64"/>
      <c r="Q17" s="64"/>
      <c r="R17" s="64"/>
      <c r="S17" s="64"/>
    </row>
    <row r="19">
      <c r="A19" s="1"/>
      <c r="B19" s="1" t="s">
        <v>565</v>
      </c>
      <c r="G19" s="1" t="s">
        <v>566</v>
      </c>
      <c r="Q19" s="1" t="s">
        <v>567</v>
      </c>
    </row>
    <row r="21">
      <c r="B21" s="1" t="s">
        <v>568</v>
      </c>
      <c r="E21" s="1" t="s">
        <v>569</v>
      </c>
      <c r="F21" s="1" t="s">
        <v>570</v>
      </c>
      <c r="G21" s="1" t="s">
        <v>571</v>
      </c>
    </row>
    <row r="22">
      <c r="A22" s="2"/>
      <c r="E22" s="1" t="s">
        <v>572</v>
      </c>
      <c r="F22" s="1" t="s">
        <v>573</v>
      </c>
      <c r="G22" s="1" t="s">
        <v>571</v>
      </c>
    </row>
    <row r="23">
      <c r="G23" s="1" t="s">
        <v>571</v>
      </c>
    </row>
    <row r="24">
      <c r="G24" s="1" t="s">
        <v>571</v>
      </c>
    </row>
    <row r="25">
      <c r="E25" s="1" t="s">
        <v>574</v>
      </c>
      <c r="F25" s="1" t="s">
        <v>575</v>
      </c>
      <c r="G25" s="1" t="s">
        <v>571</v>
      </c>
    </row>
    <row r="26">
      <c r="E26" s="2" t="s">
        <v>576</v>
      </c>
    </row>
    <row r="29">
      <c r="A29" s="1" t="s">
        <v>577</v>
      </c>
    </row>
    <row r="31">
      <c r="A31" s="3" t="s">
        <v>492</v>
      </c>
      <c r="B31" s="3" t="s">
        <v>493</v>
      </c>
      <c r="C31" s="3" t="s">
        <v>494</v>
      </c>
      <c r="D31" s="3" t="s">
        <v>496</v>
      </c>
      <c r="E31" s="3" t="s">
        <v>578</v>
      </c>
      <c r="G31" s="1" t="s">
        <v>579</v>
      </c>
      <c r="H31" s="1" t="s">
        <v>580</v>
      </c>
    </row>
    <row r="32">
      <c r="A32" s="63"/>
      <c r="B32" s="63"/>
      <c r="C32" s="63"/>
      <c r="D32" s="63"/>
      <c r="E32" s="71">
        <v>1.0</v>
      </c>
      <c r="G32" s="1" t="s">
        <v>581</v>
      </c>
      <c r="H32" s="1">
        <v>3.0</v>
      </c>
      <c r="I32" s="1" t="s">
        <v>582</v>
      </c>
      <c r="J32" s="1" t="s">
        <v>583</v>
      </c>
    </row>
    <row r="33">
      <c r="A33" s="63"/>
      <c r="B33" s="63"/>
      <c r="C33" s="63"/>
      <c r="D33" s="63"/>
      <c r="E33" s="72"/>
      <c r="G33" s="1" t="s">
        <v>584</v>
      </c>
      <c r="H33" s="1">
        <v>2.0</v>
      </c>
      <c r="I33" s="1" t="s">
        <v>585</v>
      </c>
      <c r="J33" s="1" t="s">
        <v>586</v>
      </c>
    </row>
    <row r="34">
      <c r="A34" s="64"/>
      <c r="B34" s="64"/>
      <c r="C34" s="64"/>
      <c r="D34" s="64"/>
      <c r="E34" s="73"/>
      <c r="G34" s="1" t="s">
        <v>587</v>
      </c>
      <c r="H34" s="1">
        <v>1.0</v>
      </c>
      <c r="I34" s="1" t="s">
        <v>588</v>
      </c>
      <c r="J34" s="1" t="s">
        <v>589</v>
      </c>
    </row>
    <row r="35">
      <c r="A35" s="64"/>
      <c r="B35" s="64"/>
      <c r="C35" s="64"/>
      <c r="D35" s="64"/>
      <c r="E35" s="71">
        <v>2.0</v>
      </c>
    </row>
    <row r="36">
      <c r="A36" s="64"/>
      <c r="B36" s="64"/>
      <c r="C36" s="64"/>
      <c r="D36" s="64"/>
      <c r="E36" s="72"/>
    </row>
    <row r="37">
      <c r="A37" s="64"/>
      <c r="B37" s="64"/>
      <c r="C37" s="64"/>
      <c r="D37" s="64"/>
      <c r="E37" s="73"/>
      <c r="G37" s="1" t="s">
        <v>590</v>
      </c>
    </row>
    <row r="38">
      <c r="A38" s="65"/>
      <c r="B38" s="65"/>
      <c r="C38" s="65"/>
      <c r="D38" s="65"/>
      <c r="E38" s="71">
        <v>3.0</v>
      </c>
    </row>
    <row r="39">
      <c r="A39" s="65"/>
      <c r="B39" s="65"/>
      <c r="C39" s="65"/>
      <c r="D39" s="65"/>
      <c r="E39" s="72"/>
    </row>
    <row r="40">
      <c r="A40" s="65"/>
      <c r="B40" s="65"/>
      <c r="C40" s="65"/>
      <c r="D40" s="65"/>
      <c r="E40" s="73"/>
    </row>
    <row r="44">
      <c r="A44" s="1">
        <v>1.0</v>
      </c>
      <c r="B44" s="1">
        <v>1.0</v>
      </c>
      <c r="D44" s="1">
        <v>3.0</v>
      </c>
    </row>
    <row r="45">
      <c r="A45" s="1">
        <v>2.0</v>
      </c>
      <c r="B45" s="1">
        <v>2.0</v>
      </c>
      <c r="D45" s="1">
        <v>6.0</v>
      </c>
      <c r="G45" s="1">
        <v>10.0</v>
      </c>
      <c r="H45" s="1">
        <v>0.0</v>
      </c>
      <c r="I45" s="1">
        <v>0.0</v>
      </c>
    </row>
    <row r="46">
      <c r="A46" s="1">
        <v>3.0</v>
      </c>
      <c r="B46" s="1">
        <v>0.0</v>
      </c>
      <c r="D46" s="1">
        <v>9.0</v>
      </c>
      <c r="G46" s="1">
        <v>0.0</v>
      </c>
      <c r="H46" s="1">
        <v>9.0</v>
      </c>
      <c r="I46" s="1">
        <v>1.0</v>
      </c>
    </row>
    <row r="47">
      <c r="A47" s="1">
        <v>4.0</v>
      </c>
      <c r="B47" s="1">
        <v>1.0</v>
      </c>
      <c r="G47" s="1">
        <v>0.0</v>
      </c>
      <c r="H47" s="1">
        <v>0.0</v>
      </c>
      <c r="I47" s="1">
        <v>10.0</v>
      </c>
    </row>
    <row r="48">
      <c r="A48" s="1">
        <v>5.0</v>
      </c>
      <c r="B48" s="1">
        <v>2.0</v>
      </c>
      <c r="D48" s="1">
        <v>1.0</v>
      </c>
    </row>
    <row r="49">
      <c r="A49" s="1">
        <v>6.0</v>
      </c>
      <c r="B49" s="1">
        <v>0.0</v>
      </c>
      <c r="D49" s="1">
        <v>4.0</v>
      </c>
      <c r="H49" s="1" t="s">
        <v>591</v>
      </c>
      <c r="I49" s="1" t="s">
        <v>592</v>
      </c>
    </row>
    <row r="50">
      <c r="A50" s="1">
        <v>7.0</v>
      </c>
      <c r="D50" s="1">
        <v>7.0</v>
      </c>
      <c r="G50" s="1" t="s">
        <v>593</v>
      </c>
      <c r="H50" s="1" t="s">
        <v>594</v>
      </c>
      <c r="I50" s="1" t="s">
        <v>595</v>
      </c>
    </row>
    <row r="51">
      <c r="A51" s="1">
        <v>8.0</v>
      </c>
      <c r="G51" s="1" t="s">
        <v>596</v>
      </c>
      <c r="H51" s="1" t="s">
        <v>597</v>
      </c>
      <c r="I51" s="1" t="s">
        <v>598</v>
      </c>
    </row>
    <row r="52">
      <c r="A52" s="1">
        <v>9.0</v>
      </c>
    </row>
    <row r="53">
      <c r="A53" s="1">
        <v>10.0</v>
      </c>
    </row>
  </sheetData>
  <mergeCells count="3">
    <mergeCell ref="E32:E34"/>
    <mergeCell ref="E35:E37"/>
    <mergeCell ref="E38:E4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599</v>
      </c>
    </row>
    <row r="2">
      <c r="A2" s="1" t="s">
        <v>600</v>
      </c>
    </row>
    <row r="4">
      <c r="A4" s="1" t="s">
        <v>601</v>
      </c>
    </row>
    <row r="6">
      <c r="A6" s="2" t="s">
        <v>602</v>
      </c>
    </row>
    <row r="8">
      <c r="A8" s="3">
        <v>1.0</v>
      </c>
      <c r="C8" s="3">
        <v>1.0</v>
      </c>
      <c r="E8" s="1">
        <v>2.0</v>
      </c>
      <c r="F8" s="1">
        <v>1.0</v>
      </c>
    </row>
    <row r="9">
      <c r="A9" s="3">
        <v>2.0</v>
      </c>
      <c r="C9" s="3"/>
      <c r="E9" s="1">
        <v>5.0</v>
      </c>
      <c r="F9" s="1">
        <v>4.0</v>
      </c>
    </row>
    <row r="10">
      <c r="A10" s="3">
        <v>3.0</v>
      </c>
      <c r="C10" s="3">
        <v>3.0</v>
      </c>
    </row>
    <row r="11">
      <c r="A11" s="3">
        <v>4.0</v>
      </c>
      <c r="C11" s="3">
        <v>4.0</v>
      </c>
    </row>
    <row r="12">
      <c r="A12" s="3">
        <v>5.0</v>
      </c>
      <c r="C12" s="3"/>
    </row>
    <row r="14">
      <c r="A14" s="2" t="s">
        <v>603</v>
      </c>
    </row>
    <row r="17">
      <c r="A17" s="3"/>
      <c r="C17" s="71" t="s">
        <v>604</v>
      </c>
      <c r="E17" s="71" t="s">
        <v>604</v>
      </c>
      <c r="G17" s="71" t="s">
        <v>604</v>
      </c>
      <c r="I17" s="71" t="s">
        <v>604</v>
      </c>
      <c r="K17" s="1">
        <v>1.0</v>
      </c>
      <c r="L17" s="1">
        <v>2.0</v>
      </c>
      <c r="N17" s="1">
        <v>1.0</v>
      </c>
      <c r="P17" s="1">
        <v>1.0</v>
      </c>
      <c r="Q17" s="74">
        <v>1.0</v>
      </c>
    </row>
    <row r="18">
      <c r="A18" s="3"/>
      <c r="C18" s="72"/>
      <c r="E18" s="72"/>
      <c r="G18" s="72"/>
      <c r="I18" s="72"/>
      <c r="K18" s="1">
        <v>5.0</v>
      </c>
      <c r="L18" s="1">
        <v>3.0</v>
      </c>
      <c r="N18" s="1">
        <v>2.0</v>
      </c>
      <c r="P18" s="31">
        <v>2.0</v>
      </c>
      <c r="Q18" s="74">
        <v>2.0</v>
      </c>
    </row>
    <row r="19">
      <c r="A19" s="3"/>
      <c r="C19" s="72"/>
      <c r="E19" s="72"/>
      <c r="G19" s="72"/>
      <c r="I19" s="72"/>
      <c r="K19" s="1">
        <v>1.0</v>
      </c>
      <c r="L19" s="1">
        <v>7.0</v>
      </c>
      <c r="N19" s="1">
        <v>3.0</v>
      </c>
      <c r="P19" s="31">
        <v>2.0</v>
      </c>
      <c r="Q19" s="74">
        <v>3.0</v>
      </c>
    </row>
    <row r="20">
      <c r="A20" s="3"/>
      <c r="C20" s="72"/>
      <c r="E20" s="72"/>
      <c r="G20" s="72"/>
      <c r="I20" s="72"/>
      <c r="K20" s="1">
        <v>6.0</v>
      </c>
      <c r="L20" s="1">
        <v>10.0</v>
      </c>
      <c r="N20" s="1">
        <v>4.0</v>
      </c>
      <c r="P20" s="1">
        <v>3.0</v>
      </c>
      <c r="Q20" s="74">
        <v>4.0</v>
      </c>
    </row>
    <row r="21">
      <c r="A21" s="3"/>
      <c r="C21" s="72"/>
      <c r="E21" s="72"/>
      <c r="G21" s="72"/>
      <c r="H21" s="1" t="s">
        <v>605</v>
      </c>
      <c r="I21" s="72"/>
      <c r="K21" s="1">
        <v>8.0</v>
      </c>
      <c r="N21" s="1">
        <v>5.0</v>
      </c>
      <c r="P21" s="31">
        <v>4.0</v>
      </c>
      <c r="Q21" s="74">
        <v>5.0</v>
      </c>
    </row>
    <row r="22">
      <c r="A22" s="3"/>
      <c r="C22" s="72"/>
      <c r="E22" s="72"/>
      <c r="G22" s="72"/>
      <c r="I22" s="72"/>
      <c r="K22" s="1">
        <v>9.0</v>
      </c>
      <c r="N22" s="1">
        <v>6.0</v>
      </c>
      <c r="P22" s="31">
        <v>4.0</v>
      </c>
      <c r="Q22" s="74">
        <v>7.0</v>
      </c>
    </row>
    <row r="23">
      <c r="A23" s="3"/>
      <c r="C23" s="73"/>
      <c r="E23" s="73"/>
      <c r="G23" s="73"/>
      <c r="I23" s="73"/>
      <c r="K23" s="1">
        <v>4.0</v>
      </c>
      <c r="N23" s="1">
        <v>7.0</v>
      </c>
      <c r="P23" s="31">
        <v>4.0</v>
      </c>
      <c r="Q23" s="74">
        <v>9.0</v>
      </c>
    </row>
    <row r="24">
      <c r="A24" s="3"/>
      <c r="C24" s="71" t="s">
        <v>606</v>
      </c>
      <c r="E24" s="71" t="s">
        <v>606</v>
      </c>
      <c r="G24" s="71" t="s">
        <v>606</v>
      </c>
      <c r="I24" s="71" t="s">
        <v>606</v>
      </c>
      <c r="K24" s="1">
        <v>5.0</v>
      </c>
      <c r="N24" s="1">
        <v>8.0</v>
      </c>
      <c r="P24" s="1">
        <v>5.0</v>
      </c>
      <c r="Q24" s="45">
        <v>2.0</v>
      </c>
    </row>
    <row r="25">
      <c r="A25" s="3"/>
      <c r="C25" s="72"/>
      <c r="E25" s="72"/>
      <c r="G25" s="72"/>
      <c r="I25" s="72"/>
      <c r="K25" s="1">
        <v>6.0</v>
      </c>
      <c r="N25" s="1">
        <v>9.0</v>
      </c>
      <c r="P25" s="1">
        <v>7.0</v>
      </c>
      <c r="Q25" s="45">
        <v>4.0</v>
      </c>
    </row>
    <row r="26">
      <c r="A26" s="3"/>
      <c r="C26" s="73"/>
      <c r="E26" s="73"/>
      <c r="G26" s="73"/>
      <c r="I26" s="73"/>
      <c r="K26" s="1">
        <v>4.0</v>
      </c>
      <c r="N26" s="1">
        <v>10.0</v>
      </c>
      <c r="P26" s="1">
        <v>9.0</v>
      </c>
      <c r="Q26" s="45">
        <v>4.0</v>
      </c>
    </row>
    <row r="28">
      <c r="C28" s="1" t="s">
        <v>607</v>
      </c>
      <c r="E28" s="1" t="s">
        <v>608</v>
      </c>
      <c r="G28" s="1" t="s">
        <v>609</v>
      </c>
      <c r="I28" s="1" t="s">
        <v>610</v>
      </c>
    </row>
    <row r="30">
      <c r="C30" s="38" t="s">
        <v>611</v>
      </c>
      <c r="D30" s="40"/>
      <c r="E30" s="39" t="s">
        <v>612</v>
      </c>
      <c r="F30" s="40"/>
      <c r="G30" s="39" t="s">
        <v>613</v>
      </c>
      <c r="H30" s="40"/>
      <c r="I30" s="75" t="s">
        <v>614</v>
      </c>
      <c r="J30" s="1" t="s">
        <v>615</v>
      </c>
      <c r="K30" s="1"/>
    </row>
    <row r="31">
      <c r="C31" s="76" t="s">
        <v>616</v>
      </c>
      <c r="D31" s="51"/>
      <c r="E31" s="53" t="s">
        <v>616</v>
      </c>
      <c r="F31" s="51"/>
      <c r="G31" s="53" t="s">
        <v>616</v>
      </c>
      <c r="H31" s="51"/>
      <c r="I31" s="77" t="s">
        <v>616</v>
      </c>
      <c r="J31" s="1" t="s">
        <v>617</v>
      </c>
    </row>
    <row r="33">
      <c r="C33" s="2" t="s">
        <v>618</v>
      </c>
    </row>
    <row r="35">
      <c r="C35" s="1" t="s">
        <v>619</v>
      </c>
    </row>
    <row r="37">
      <c r="C37" s="1" t="s">
        <v>620</v>
      </c>
      <c r="E37" s="1" t="s">
        <v>621</v>
      </c>
      <c r="G37" s="1" t="s">
        <v>622</v>
      </c>
      <c r="I37" s="1" t="s">
        <v>623</v>
      </c>
      <c r="J37" s="1" t="s">
        <v>624</v>
      </c>
    </row>
    <row r="39">
      <c r="C39" s="1" t="s">
        <v>625</v>
      </c>
    </row>
    <row r="40">
      <c r="C40" s="1" t="s">
        <v>626</v>
      </c>
      <c r="F40" s="9">
        <f>sqrt(100)</f>
        <v>10</v>
      </c>
      <c r="H40" s="1">
        <v>100.0</v>
      </c>
      <c r="I40" s="1">
        <v>10.0</v>
      </c>
    </row>
    <row r="41">
      <c r="C41" s="1" t="s">
        <v>627</v>
      </c>
      <c r="I41" s="1">
        <v>10.0</v>
      </c>
    </row>
    <row r="42">
      <c r="A42" s="1" t="s">
        <v>628</v>
      </c>
      <c r="I42" s="1">
        <v>10.0</v>
      </c>
    </row>
    <row r="44">
      <c r="A44" s="9">
        <f> 10/4</f>
        <v>2.5</v>
      </c>
    </row>
    <row r="45">
      <c r="A45" s="9">
        <f> 10/2</f>
        <v>5</v>
      </c>
      <c r="D45" s="1" t="s">
        <v>629</v>
      </c>
      <c r="E45" s="1" t="s">
        <v>471</v>
      </c>
      <c r="F45" s="1" t="s">
        <v>630</v>
      </c>
    </row>
    <row r="46">
      <c r="D46" s="1">
        <v>1.0</v>
      </c>
      <c r="E46" s="1">
        <v>0.0</v>
      </c>
      <c r="F46" s="1">
        <v>0.0</v>
      </c>
    </row>
    <row r="47">
      <c r="D47" s="1">
        <v>0.0</v>
      </c>
      <c r="E47" s="1">
        <v>1.0</v>
      </c>
      <c r="F47" s="1">
        <v>0.0</v>
      </c>
    </row>
    <row r="48">
      <c r="D48" s="1">
        <v>0.0</v>
      </c>
      <c r="E48" s="1">
        <v>0.0</v>
      </c>
      <c r="F48" s="1">
        <v>1.0</v>
      </c>
    </row>
    <row r="56">
      <c r="D56" s="1">
        <f>1500*12</f>
        <v>18000</v>
      </c>
    </row>
    <row r="58">
      <c r="D58" s="9">
        <f>1500/80</f>
        <v>18.75</v>
      </c>
    </row>
  </sheetData>
  <autoFilter ref="$P$16:$P$26">
    <sortState ref="P16:P26">
      <sortCondition ref="P16:P26"/>
    </sortState>
  </autoFilter>
  <mergeCells count="8">
    <mergeCell ref="C17:C23"/>
    <mergeCell ref="E17:E23"/>
    <mergeCell ref="G17:G23"/>
    <mergeCell ref="I17:I23"/>
    <mergeCell ref="C24:C26"/>
    <mergeCell ref="E24:E26"/>
    <mergeCell ref="G24:G26"/>
    <mergeCell ref="I24:I2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8.5"/>
    <col customWidth="1" min="5" max="5" width="22.75"/>
    <col customWidth="1" min="6" max="6" width="30.13"/>
    <col customWidth="1" min="7" max="7" width="27.5"/>
    <col customWidth="1" min="8" max="8" width="32.25"/>
  </cols>
  <sheetData>
    <row r="1">
      <c r="A1" s="3" t="s">
        <v>529</v>
      </c>
      <c r="B1" s="3" t="s">
        <v>257</v>
      </c>
    </row>
    <row r="2">
      <c r="A2" s="3">
        <v>0.0</v>
      </c>
      <c r="B2" s="8">
        <f t="shared" ref="B2:B11" si="1">2*A2+1</f>
        <v>1</v>
      </c>
    </row>
    <row r="3">
      <c r="A3" s="3">
        <v>1.0</v>
      </c>
      <c r="B3" s="8">
        <f t="shared" si="1"/>
        <v>3</v>
      </c>
    </row>
    <row r="4">
      <c r="A4" s="3">
        <v>2.0</v>
      </c>
      <c r="B4" s="8">
        <f t="shared" si="1"/>
        <v>5</v>
      </c>
    </row>
    <row r="5">
      <c r="A5" s="3">
        <v>3.0</v>
      </c>
      <c r="B5" s="8">
        <f t="shared" si="1"/>
        <v>7</v>
      </c>
    </row>
    <row r="6">
      <c r="A6" s="3">
        <v>4.0</v>
      </c>
      <c r="B6" s="8">
        <f t="shared" si="1"/>
        <v>9</v>
      </c>
    </row>
    <row r="7">
      <c r="A7" s="3">
        <v>5.0</v>
      </c>
      <c r="B7" s="8">
        <f t="shared" si="1"/>
        <v>11</v>
      </c>
    </row>
    <row r="8">
      <c r="A8" s="3">
        <v>6.0</v>
      </c>
      <c r="B8" s="8">
        <f t="shared" si="1"/>
        <v>13</v>
      </c>
    </row>
    <row r="9">
      <c r="A9" s="3">
        <v>7.0</v>
      </c>
      <c r="B9" s="8">
        <f t="shared" si="1"/>
        <v>15</v>
      </c>
    </row>
    <row r="10">
      <c r="A10" s="3">
        <v>8.0</v>
      </c>
      <c r="B10" s="8">
        <f t="shared" si="1"/>
        <v>17</v>
      </c>
    </row>
    <row r="11">
      <c r="A11" s="3">
        <v>9.0</v>
      </c>
      <c r="B11" s="8">
        <f t="shared" si="1"/>
        <v>19</v>
      </c>
    </row>
    <row r="23">
      <c r="D23" s="30" t="s">
        <v>631</v>
      </c>
      <c r="E23" s="30" t="s">
        <v>632</v>
      </c>
      <c r="F23" s="30"/>
    </row>
    <row r="24">
      <c r="A24" s="3" t="s">
        <v>633</v>
      </c>
      <c r="B24" s="3" t="s">
        <v>634</v>
      </c>
      <c r="C24" s="3" t="s">
        <v>635</v>
      </c>
      <c r="D24" s="3" t="s">
        <v>636</v>
      </c>
      <c r="E24" s="3" t="s">
        <v>637</v>
      </c>
      <c r="F24" s="78" t="s">
        <v>638</v>
      </c>
      <c r="G24" s="3" t="s">
        <v>639</v>
      </c>
      <c r="H24" s="3" t="s">
        <v>640</v>
      </c>
    </row>
    <row r="25">
      <c r="A25" s="3">
        <v>156.0</v>
      </c>
      <c r="B25" s="3">
        <v>55.0</v>
      </c>
      <c r="C25" s="3">
        <v>68.3</v>
      </c>
      <c r="D25" s="3">
        <v>54.0</v>
      </c>
      <c r="E25" s="8">
        <f t="shared" ref="E25:E34" si="3">B25-C25</f>
        <v>-13.3</v>
      </c>
      <c r="F25" s="8">
        <f t="shared" ref="F25:F34" si="4">B25-D25</f>
        <v>1</v>
      </c>
      <c r="G25" s="8">
        <f t="shared" ref="G25:H25" si="2">E25*E25</f>
        <v>176.89</v>
      </c>
      <c r="H25" s="8">
        <f t="shared" si="2"/>
        <v>1</v>
      </c>
      <c r="L25" s="3">
        <v>55.0</v>
      </c>
    </row>
    <row r="26">
      <c r="A26" s="3">
        <v>165.0</v>
      </c>
      <c r="B26" s="3">
        <v>67.0</v>
      </c>
      <c r="C26" s="3">
        <v>68.3</v>
      </c>
      <c r="D26" s="3">
        <v>64.0</v>
      </c>
      <c r="E26" s="8">
        <f t="shared" si="3"/>
        <v>-1.3</v>
      </c>
      <c r="F26" s="8">
        <f t="shared" si="4"/>
        <v>3</v>
      </c>
      <c r="G26" s="8">
        <f t="shared" ref="G26:H26" si="5">E26*E26</f>
        <v>1.69</v>
      </c>
      <c r="H26" s="8">
        <f t="shared" si="5"/>
        <v>9</v>
      </c>
      <c r="L26" s="3">
        <v>67.0</v>
      </c>
    </row>
    <row r="27">
      <c r="A27" s="3">
        <v>170.0</v>
      </c>
      <c r="B27" s="3">
        <v>70.0</v>
      </c>
      <c r="C27" s="3">
        <v>68.3</v>
      </c>
      <c r="D27" s="3">
        <v>71.0</v>
      </c>
      <c r="E27" s="8">
        <f t="shared" si="3"/>
        <v>1.7</v>
      </c>
      <c r="F27" s="8">
        <f t="shared" si="4"/>
        <v>-1</v>
      </c>
      <c r="G27" s="8">
        <f t="shared" ref="G27:H27" si="6">E27*E27</f>
        <v>2.89</v>
      </c>
      <c r="H27" s="8">
        <f t="shared" si="6"/>
        <v>1</v>
      </c>
      <c r="L27" s="3">
        <v>70.0</v>
      </c>
    </row>
    <row r="28">
      <c r="A28" s="3">
        <v>170.0</v>
      </c>
      <c r="B28" s="3">
        <v>73.0</v>
      </c>
      <c r="C28" s="3">
        <v>68.3</v>
      </c>
      <c r="D28" s="3">
        <v>71.0</v>
      </c>
      <c r="E28" s="8">
        <f t="shared" si="3"/>
        <v>4.7</v>
      </c>
      <c r="F28" s="8">
        <f t="shared" si="4"/>
        <v>2</v>
      </c>
      <c r="G28" s="8">
        <f t="shared" ref="G28:H28" si="7">E28*E28</f>
        <v>22.09</v>
      </c>
      <c r="H28" s="8">
        <f t="shared" si="7"/>
        <v>4</v>
      </c>
      <c r="L28" s="3">
        <v>73.0</v>
      </c>
    </row>
    <row r="29">
      <c r="A29" s="3">
        <v>180.0</v>
      </c>
      <c r="B29" s="3">
        <v>79.0</v>
      </c>
      <c r="C29" s="3">
        <v>68.3</v>
      </c>
      <c r="D29" s="3">
        <v>82.0</v>
      </c>
      <c r="E29" s="8">
        <f t="shared" si="3"/>
        <v>10.7</v>
      </c>
      <c r="F29" s="8">
        <f t="shared" si="4"/>
        <v>-3</v>
      </c>
      <c r="G29" s="8">
        <f t="shared" ref="G29:H29" si="8">E29*E29</f>
        <v>114.49</v>
      </c>
      <c r="H29" s="8">
        <f t="shared" si="8"/>
        <v>9</v>
      </c>
      <c r="L29" s="3">
        <v>79.0</v>
      </c>
    </row>
    <row r="30">
      <c r="A30" s="3">
        <v>182.0</v>
      </c>
      <c r="B30" s="3">
        <v>82.0</v>
      </c>
      <c r="C30" s="3">
        <v>68.3</v>
      </c>
      <c r="D30" s="3">
        <v>83.0</v>
      </c>
      <c r="E30" s="8">
        <f t="shared" si="3"/>
        <v>13.7</v>
      </c>
      <c r="F30" s="8">
        <f t="shared" si="4"/>
        <v>-1</v>
      </c>
      <c r="G30" s="8">
        <f t="shared" ref="G30:H30" si="9">E30*E30</f>
        <v>187.69</v>
      </c>
      <c r="H30" s="8">
        <f t="shared" si="9"/>
        <v>1</v>
      </c>
      <c r="L30" s="3">
        <v>82.0</v>
      </c>
    </row>
    <row r="31">
      <c r="A31" s="3">
        <v>183.0</v>
      </c>
      <c r="B31" s="3">
        <v>85.0</v>
      </c>
      <c r="C31" s="3">
        <v>68.3</v>
      </c>
      <c r="D31" s="3">
        <v>86.0</v>
      </c>
      <c r="E31" s="8">
        <f t="shared" si="3"/>
        <v>16.7</v>
      </c>
      <c r="F31" s="8">
        <f t="shared" si="4"/>
        <v>-1</v>
      </c>
      <c r="G31" s="8">
        <f t="shared" ref="G31:H31" si="10">E31*E31</f>
        <v>278.89</v>
      </c>
      <c r="H31" s="8">
        <f t="shared" si="10"/>
        <v>1</v>
      </c>
      <c r="L31" s="3">
        <v>85.0</v>
      </c>
    </row>
    <row r="32">
      <c r="A32" s="3">
        <v>143.0</v>
      </c>
      <c r="B32" s="3">
        <v>50.0</v>
      </c>
      <c r="C32" s="3">
        <v>68.3</v>
      </c>
      <c r="D32" s="3">
        <v>48.0</v>
      </c>
      <c r="E32" s="8">
        <f t="shared" si="3"/>
        <v>-18.3</v>
      </c>
      <c r="F32" s="8">
        <f t="shared" si="4"/>
        <v>2</v>
      </c>
      <c r="G32" s="8">
        <f t="shared" ref="G32:H32" si="11">E32*E32</f>
        <v>334.89</v>
      </c>
      <c r="H32" s="8">
        <f t="shared" si="11"/>
        <v>4</v>
      </c>
      <c r="L32" s="3">
        <v>50.0</v>
      </c>
    </row>
    <row r="33">
      <c r="A33" s="3">
        <v>162.0</v>
      </c>
      <c r="B33" s="3">
        <v>59.0</v>
      </c>
      <c r="C33" s="3">
        <v>68.3</v>
      </c>
      <c r="D33" s="3">
        <v>61.0</v>
      </c>
      <c r="E33" s="8">
        <f t="shared" si="3"/>
        <v>-9.3</v>
      </c>
      <c r="F33" s="8">
        <f t="shared" si="4"/>
        <v>-2</v>
      </c>
      <c r="G33" s="8">
        <f t="shared" ref="G33:H33" si="12">E33*E33</f>
        <v>86.49</v>
      </c>
      <c r="H33" s="8">
        <f t="shared" si="12"/>
        <v>4</v>
      </c>
      <c r="L33" s="3">
        <v>59.0</v>
      </c>
    </row>
    <row r="34">
      <c r="A34" s="3">
        <v>167.0</v>
      </c>
      <c r="B34" s="3">
        <v>63.0</v>
      </c>
      <c r="C34" s="3">
        <v>68.3</v>
      </c>
      <c r="D34" s="3">
        <v>66.0</v>
      </c>
      <c r="E34" s="8">
        <f t="shared" si="3"/>
        <v>-5.3</v>
      </c>
      <c r="F34" s="8">
        <f t="shared" si="4"/>
        <v>-3</v>
      </c>
      <c r="G34" s="8">
        <f t="shared" ref="G34:H34" si="13">E34*E34</f>
        <v>28.09</v>
      </c>
      <c r="H34" s="8">
        <f t="shared" si="13"/>
        <v>9</v>
      </c>
      <c r="L34" s="3">
        <v>63.0</v>
      </c>
    </row>
    <row r="35">
      <c r="E35" s="1" t="s">
        <v>641</v>
      </c>
      <c r="F35" s="1" t="s">
        <v>642</v>
      </c>
      <c r="G35" s="9">
        <f t="shared" ref="G35:H35" si="14">AVERAGE(G25:G34)</f>
        <v>123.41</v>
      </c>
      <c r="H35" s="9">
        <f t="shared" si="14"/>
        <v>4.3</v>
      </c>
    </row>
    <row r="37">
      <c r="B37" s="9">
        <f>AVERAGE(B25:B34)</f>
        <v>68.3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529</v>
      </c>
      <c r="B1" s="1" t="s">
        <v>257</v>
      </c>
      <c r="C1" s="1" t="s">
        <v>643</v>
      </c>
      <c r="D1" s="1" t="s">
        <v>644</v>
      </c>
      <c r="E1" s="1" t="s">
        <v>645</v>
      </c>
      <c r="F1" s="1" t="s">
        <v>646</v>
      </c>
      <c r="G1" s="1" t="s">
        <v>647</v>
      </c>
      <c r="H1" s="1" t="s">
        <v>648</v>
      </c>
      <c r="I1" s="1" t="s">
        <v>649</v>
      </c>
      <c r="J1" s="1" t="s">
        <v>650</v>
      </c>
      <c r="K1" s="1" t="s">
        <v>651</v>
      </c>
      <c r="L1" s="1" t="s">
        <v>652</v>
      </c>
      <c r="M1" s="1" t="s">
        <v>653</v>
      </c>
    </row>
    <row r="2">
      <c r="A2" s="1">
        <v>1.0</v>
      </c>
      <c r="B2" s="1">
        <v>1.0</v>
      </c>
      <c r="C2" s="9">
        <f t="shared" ref="C2:C6" si="2">AVERAGE($A$2:$A$6)</f>
        <v>3</v>
      </c>
      <c r="D2" s="9">
        <f t="shared" ref="D2:D6" si="3">AVERAGE($B$2:$B$6)</f>
        <v>2.8</v>
      </c>
      <c r="E2" s="9">
        <f t="shared" ref="E2:F2" si="1">A2-C2</f>
        <v>-2</v>
      </c>
      <c r="F2" s="9">
        <f t="shared" si="1"/>
        <v>-1.8</v>
      </c>
      <c r="G2" s="9">
        <f t="shared" ref="G2:G6" si="5">E2*F2</f>
        <v>3.6</v>
      </c>
      <c r="H2" s="9">
        <f t="shared" ref="H2:H6" si="6">E2*E2</f>
        <v>4</v>
      </c>
      <c r="I2" s="1">
        <v>0.7</v>
      </c>
      <c r="J2" s="1">
        <v>0.7</v>
      </c>
      <c r="K2" s="9">
        <f t="shared" ref="K2:K6" si="7">I2+J2*A2</f>
        <v>1.4</v>
      </c>
      <c r="L2" s="9">
        <f t="shared" ref="L2:L6" si="8">B2-K2</f>
        <v>-0.4</v>
      </c>
      <c r="M2" s="9">
        <f t="shared" ref="M2:M6" si="9">L2*L2</f>
        <v>0.16</v>
      </c>
    </row>
    <row r="3">
      <c r="A3" s="1">
        <v>2.0</v>
      </c>
      <c r="B3" s="1">
        <v>3.0</v>
      </c>
      <c r="C3" s="9">
        <f t="shared" si="2"/>
        <v>3</v>
      </c>
      <c r="D3" s="9">
        <f t="shared" si="3"/>
        <v>2.8</v>
      </c>
      <c r="E3" s="9">
        <f t="shared" ref="E3:F3" si="4">A3-C3</f>
        <v>-1</v>
      </c>
      <c r="F3" s="9">
        <f t="shared" si="4"/>
        <v>0.2</v>
      </c>
      <c r="G3" s="9">
        <f t="shared" si="5"/>
        <v>-0.2</v>
      </c>
      <c r="H3" s="9">
        <f t="shared" si="6"/>
        <v>1</v>
      </c>
      <c r="I3" s="1">
        <v>0.7</v>
      </c>
      <c r="J3" s="1">
        <v>0.7</v>
      </c>
      <c r="K3" s="9">
        <f t="shared" si="7"/>
        <v>2.1</v>
      </c>
      <c r="L3" s="9">
        <f t="shared" si="8"/>
        <v>0.9</v>
      </c>
      <c r="M3" s="9">
        <f t="shared" si="9"/>
        <v>0.81</v>
      </c>
    </row>
    <row r="4">
      <c r="A4" s="1">
        <v>3.0</v>
      </c>
      <c r="B4" s="1">
        <v>3.0</v>
      </c>
      <c r="C4" s="9">
        <f t="shared" si="2"/>
        <v>3</v>
      </c>
      <c r="D4" s="9">
        <f t="shared" si="3"/>
        <v>2.8</v>
      </c>
      <c r="E4" s="9">
        <f t="shared" ref="E4:F4" si="10">A4-C4</f>
        <v>0</v>
      </c>
      <c r="F4" s="9">
        <f t="shared" si="10"/>
        <v>0.2</v>
      </c>
      <c r="G4" s="9">
        <f t="shared" si="5"/>
        <v>0</v>
      </c>
      <c r="H4" s="9">
        <f t="shared" si="6"/>
        <v>0</v>
      </c>
      <c r="I4" s="1">
        <v>0.7</v>
      </c>
      <c r="J4" s="1">
        <v>0.7</v>
      </c>
      <c r="K4" s="9">
        <f t="shared" si="7"/>
        <v>2.8</v>
      </c>
      <c r="L4" s="9">
        <f t="shared" si="8"/>
        <v>0.2</v>
      </c>
      <c r="M4" s="9">
        <f t="shared" si="9"/>
        <v>0.04</v>
      </c>
    </row>
    <row r="5">
      <c r="A5" s="1">
        <v>4.0</v>
      </c>
      <c r="B5" s="1">
        <v>2.0</v>
      </c>
      <c r="C5" s="9">
        <f t="shared" si="2"/>
        <v>3</v>
      </c>
      <c r="D5" s="9">
        <f t="shared" si="3"/>
        <v>2.8</v>
      </c>
      <c r="E5" s="9">
        <f t="shared" ref="E5:F5" si="11">A5-C5</f>
        <v>1</v>
      </c>
      <c r="F5" s="9">
        <f t="shared" si="11"/>
        <v>-0.8</v>
      </c>
      <c r="G5" s="9">
        <f t="shared" si="5"/>
        <v>-0.8</v>
      </c>
      <c r="H5" s="9">
        <f t="shared" si="6"/>
        <v>1</v>
      </c>
      <c r="I5" s="1">
        <v>0.7</v>
      </c>
      <c r="J5" s="1">
        <v>0.7</v>
      </c>
      <c r="K5" s="9">
        <f t="shared" si="7"/>
        <v>3.5</v>
      </c>
      <c r="L5" s="9">
        <f t="shared" si="8"/>
        <v>-1.5</v>
      </c>
      <c r="M5" s="9">
        <f t="shared" si="9"/>
        <v>2.25</v>
      </c>
    </row>
    <row r="6">
      <c r="A6" s="1">
        <v>5.0</v>
      </c>
      <c r="B6" s="1">
        <v>5.0</v>
      </c>
      <c r="C6" s="9">
        <f t="shared" si="2"/>
        <v>3</v>
      </c>
      <c r="D6" s="9">
        <f t="shared" si="3"/>
        <v>2.8</v>
      </c>
      <c r="E6" s="9">
        <f t="shared" ref="E6:F6" si="12">A6-C6</f>
        <v>2</v>
      </c>
      <c r="F6" s="9">
        <f t="shared" si="12"/>
        <v>2.2</v>
      </c>
      <c r="G6" s="9">
        <f t="shared" si="5"/>
        <v>4.4</v>
      </c>
      <c r="H6" s="9">
        <f t="shared" si="6"/>
        <v>4</v>
      </c>
      <c r="I6" s="1">
        <v>0.7</v>
      </c>
      <c r="J6" s="1">
        <v>0.7</v>
      </c>
      <c r="K6" s="9">
        <f t="shared" si="7"/>
        <v>4.2</v>
      </c>
      <c r="L6" s="9">
        <f t="shared" si="8"/>
        <v>0.8</v>
      </c>
      <c r="M6" s="9">
        <f t="shared" si="9"/>
        <v>0.64</v>
      </c>
    </row>
    <row r="7">
      <c r="L7" s="1" t="s">
        <v>654</v>
      </c>
      <c r="M7" s="9">
        <f>SUM(M2:M6)</f>
        <v>3.9</v>
      </c>
    </row>
    <row r="8">
      <c r="A8" s="1" t="s">
        <v>655</v>
      </c>
      <c r="B8" s="1" t="s">
        <v>656</v>
      </c>
      <c r="G8" s="9">
        <f t="shared" ref="G8:H8" si="13">SUM(G2:G6)</f>
        <v>7</v>
      </c>
      <c r="H8" s="9">
        <f t="shared" si="13"/>
        <v>10</v>
      </c>
      <c r="L8" s="1" t="s">
        <v>561</v>
      </c>
      <c r="M8" s="9">
        <f>SQRT(M7/5)</f>
        <v>0.8831760866</v>
      </c>
    </row>
    <row r="9">
      <c r="A9" s="9">
        <f t="shared" ref="A9:B9" si="14">STDEV(A2:A6)</f>
        <v>1.58113883</v>
      </c>
      <c r="B9" s="9">
        <f t="shared" si="14"/>
        <v>1.483239697</v>
      </c>
      <c r="F9" s="1" t="s">
        <v>657</v>
      </c>
      <c r="G9" s="9">
        <f>G8/H8</f>
        <v>0.7</v>
      </c>
    </row>
    <row r="10">
      <c r="F10" s="1" t="s">
        <v>658</v>
      </c>
      <c r="G10" s="9">
        <f>D2-(G9*C2)</f>
        <v>0.7</v>
      </c>
    </row>
    <row r="11">
      <c r="A11" s="1" t="s">
        <v>659</v>
      </c>
    </row>
    <row r="13">
      <c r="A13" s="1" t="s">
        <v>660</v>
      </c>
      <c r="F13" s="1" t="s">
        <v>661</v>
      </c>
      <c r="G13" s="9">
        <f>PEARSON(A2:A6,B2:B6)</f>
        <v>0.7462025072</v>
      </c>
    </row>
    <row r="14">
      <c r="A14" s="79" t="s">
        <v>662</v>
      </c>
    </row>
    <row r="16">
      <c r="G16" s="1"/>
    </row>
    <row r="17">
      <c r="A17" s="1" t="s">
        <v>663</v>
      </c>
      <c r="F17" s="1" t="s">
        <v>664</v>
      </c>
      <c r="G17" s="1">
        <f>G13*B9/A9</f>
        <v>0.7</v>
      </c>
    </row>
    <row r="18">
      <c r="F18" s="1" t="s">
        <v>658</v>
      </c>
      <c r="G18" s="9">
        <f>D2-(G17*C2)</f>
        <v>0.7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25"/>
    <col customWidth="1" min="15" max="15" width="17.75"/>
  </cols>
  <sheetData>
    <row r="1">
      <c r="A1" s="1" t="s">
        <v>665</v>
      </c>
      <c r="B1" s="1" t="s">
        <v>256</v>
      </c>
      <c r="C1" s="1" t="s">
        <v>26</v>
      </c>
      <c r="D1" s="1" t="s">
        <v>666</v>
      </c>
      <c r="E1" s="1" t="s">
        <v>667</v>
      </c>
      <c r="F1" s="1" t="s">
        <v>668</v>
      </c>
      <c r="G1" s="1" t="s">
        <v>669</v>
      </c>
      <c r="I1" s="1" t="s">
        <v>665</v>
      </c>
      <c r="J1" s="1" t="s">
        <v>256</v>
      </c>
      <c r="K1" s="1" t="s">
        <v>666</v>
      </c>
      <c r="L1" s="1" t="s">
        <v>667</v>
      </c>
      <c r="M1" s="1" t="s">
        <v>668</v>
      </c>
      <c r="N1" s="1" t="s">
        <v>670</v>
      </c>
      <c r="O1" s="1" t="s">
        <v>671</v>
      </c>
      <c r="P1" s="1" t="s">
        <v>110</v>
      </c>
      <c r="Q1" s="1" t="s">
        <v>672</v>
      </c>
      <c r="T1" s="1" t="s">
        <v>110</v>
      </c>
      <c r="U1" s="1" t="s">
        <v>673</v>
      </c>
    </row>
    <row r="2">
      <c r="A2" s="1">
        <v>2.7810836</v>
      </c>
      <c r="B2" s="1">
        <v>2.550537003</v>
      </c>
      <c r="C2" s="1">
        <v>0.0</v>
      </c>
      <c r="D2" s="1">
        <v>0.0</v>
      </c>
      <c r="E2" s="1">
        <v>0.0</v>
      </c>
      <c r="F2" s="1">
        <v>0.0</v>
      </c>
      <c r="G2" s="9">
        <f t="shared" ref="G2:G3" si="2">1/(1+EXP(-D2-E2*A2-F2*B2))</f>
        <v>0.5</v>
      </c>
      <c r="I2" s="1">
        <v>2.7810836</v>
      </c>
      <c r="J2" s="1">
        <v>2.550537003</v>
      </c>
      <c r="K2" s="1">
        <v>-0.4066</v>
      </c>
      <c r="L2" s="1">
        <v>0.85257</v>
      </c>
      <c r="M2" s="1">
        <v>-1.104746</v>
      </c>
      <c r="N2" s="9">
        <f t="shared" ref="N2:N11" si="3">1/(1+EXP(-K2-L2*I2-M2*J2))</f>
        <v>0.2987563366</v>
      </c>
      <c r="O2" s="9">
        <f t="shared" ref="O2:O11" si="4">IF(N2&gt;0.5,1,0)</f>
        <v>0</v>
      </c>
      <c r="P2" s="1">
        <v>-5.0</v>
      </c>
      <c r="Q2" s="9">
        <f t="shared" ref="Q2:Q12" si="5">(1/(1+EXP(-P2)))</f>
        <v>0.006692850924</v>
      </c>
      <c r="T2" s="1">
        <v>-5.0</v>
      </c>
      <c r="U2" s="1">
        <v>0.006692850924</v>
      </c>
    </row>
    <row r="3">
      <c r="A3" s="1">
        <v>1.465489372</v>
      </c>
      <c r="B3" s="1">
        <v>2.362125076</v>
      </c>
      <c r="C3" s="1">
        <v>0.0</v>
      </c>
      <c r="D3" s="9">
        <f t="shared" ref="D3:D11" si="6">D2+0.3*($C$2-$G$2)*$G$2*(1-$G$2)*1</f>
        <v>-0.0375</v>
      </c>
      <c r="E3" s="9">
        <f t="shared" ref="E3:F3" si="1">E2+0.3*($C$2-$G$2)*$G$2*(1-$G$2)*A2</f>
        <v>-0.104290635</v>
      </c>
      <c r="F3" s="9">
        <f t="shared" si="1"/>
        <v>-0.09564513761</v>
      </c>
      <c r="G3" s="9">
        <f t="shared" si="2"/>
        <v>0.3974114233</v>
      </c>
      <c r="I3" s="1">
        <v>1.465489372</v>
      </c>
      <c r="J3" s="1">
        <v>2.362125076</v>
      </c>
      <c r="K3" s="1">
        <v>-0.4066</v>
      </c>
      <c r="L3" s="1">
        <v>0.85257</v>
      </c>
      <c r="M3" s="1">
        <v>-1.104746</v>
      </c>
      <c r="N3" s="9">
        <f t="shared" si="3"/>
        <v>0.1459512075</v>
      </c>
      <c r="O3" s="9">
        <f t="shared" si="4"/>
        <v>0</v>
      </c>
      <c r="P3" s="1">
        <v>-4.0</v>
      </c>
      <c r="Q3" s="9">
        <f t="shared" si="5"/>
        <v>0.01798620996</v>
      </c>
      <c r="T3" s="1">
        <v>-4.0</v>
      </c>
      <c r="U3" s="1">
        <v>0.01798620996</v>
      </c>
    </row>
    <row r="4">
      <c r="A4" s="1">
        <v>3.396561688</v>
      </c>
      <c r="B4" s="1">
        <v>4.400293529</v>
      </c>
      <c r="C4" s="1">
        <v>0.0</v>
      </c>
      <c r="D4" s="9">
        <f t="shared" si="6"/>
        <v>-0.075</v>
      </c>
      <c r="E4" s="9">
        <f t="shared" ref="E4:F4" si="7">E3+0.3*($C$2-$G$2)*$G$2*(1-$G$2)*A3</f>
        <v>-0.1592464865</v>
      </c>
      <c r="F4" s="9">
        <f t="shared" si="7"/>
        <v>-0.184224828</v>
      </c>
      <c r="I4" s="1">
        <v>3.396561688</v>
      </c>
      <c r="J4" s="1">
        <v>4.400293529</v>
      </c>
      <c r="K4" s="1">
        <v>-0.4066</v>
      </c>
      <c r="L4" s="1">
        <v>0.85257</v>
      </c>
      <c r="M4" s="1">
        <v>-1.104746</v>
      </c>
      <c r="N4" s="9">
        <f t="shared" si="3"/>
        <v>0.08533290153</v>
      </c>
      <c r="O4" s="9">
        <f t="shared" si="4"/>
        <v>0</v>
      </c>
      <c r="P4" s="1">
        <v>-3.0</v>
      </c>
      <c r="Q4" s="9">
        <f t="shared" si="5"/>
        <v>0.04742587318</v>
      </c>
      <c r="T4" s="1">
        <v>-3.0</v>
      </c>
      <c r="U4" s="1">
        <v>0.04742587318</v>
      </c>
    </row>
    <row r="5">
      <c r="A5" s="1">
        <v>1.38807019</v>
      </c>
      <c r="B5" s="1">
        <v>1.850220317</v>
      </c>
      <c r="C5" s="1">
        <v>0.0</v>
      </c>
      <c r="D5" s="9">
        <f t="shared" si="6"/>
        <v>-0.1125</v>
      </c>
      <c r="E5" s="9">
        <f t="shared" ref="E5:F5" si="8">E4+0.3*($C$2-$G$2)*$G$2*(1-$G$2)*A4</f>
        <v>-0.2866175498</v>
      </c>
      <c r="F5" s="9">
        <f t="shared" si="8"/>
        <v>-0.3492358353</v>
      </c>
      <c r="I5" s="1">
        <v>1.38807019</v>
      </c>
      <c r="J5" s="1">
        <v>1.850220317</v>
      </c>
      <c r="K5" s="1">
        <v>-0.4066</v>
      </c>
      <c r="L5" s="1">
        <v>0.85257</v>
      </c>
      <c r="M5" s="1">
        <v>-1.104746</v>
      </c>
      <c r="N5" s="9">
        <f t="shared" si="3"/>
        <v>0.2197375441</v>
      </c>
      <c r="O5" s="9">
        <f t="shared" si="4"/>
        <v>0</v>
      </c>
      <c r="P5" s="1">
        <v>-2.0</v>
      </c>
      <c r="Q5" s="9">
        <f t="shared" si="5"/>
        <v>0.119202922</v>
      </c>
      <c r="T5" s="1">
        <v>-2.0</v>
      </c>
      <c r="U5" s="1">
        <v>0.119202922</v>
      </c>
    </row>
    <row r="6">
      <c r="A6" s="1">
        <v>3.06407232</v>
      </c>
      <c r="B6" s="1">
        <v>3.005305973</v>
      </c>
      <c r="C6" s="1">
        <v>0.0</v>
      </c>
      <c r="D6" s="9">
        <f t="shared" si="6"/>
        <v>-0.15</v>
      </c>
      <c r="E6" s="9">
        <f t="shared" ref="E6:F6" si="9">E5+0.3*($C$2-$G$2)*$G$2*(1-$G$2)*A5</f>
        <v>-0.3386701819</v>
      </c>
      <c r="F6" s="9">
        <f t="shared" si="9"/>
        <v>-0.4186190972</v>
      </c>
      <c r="I6" s="1">
        <v>3.06407232</v>
      </c>
      <c r="J6" s="1">
        <v>3.005305973</v>
      </c>
      <c r="K6" s="1">
        <v>-0.4066</v>
      </c>
      <c r="L6" s="1">
        <v>0.85257</v>
      </c>
      <c r="M6" s="1">
        <v>-1.104746</v>
      </c>
      <c r="N6" s="9">
        <f t="shared" si="3"/>
        <v>0.2470582712</v>
      </c>
      <c r="O6" s="9">
        <f t="shared" si="4"/>
        <v>0</v>
      </c>
      <c r="P6" s="1">
        <v>-1.0</v>
      </c>
      <c r="Q6" s="9">
        <f t="shared" si="5"/>
        <v>0.2689414214</v>
      </c>
      <c r="T6" s="1">
        <v>-1.0</v>
      </c>
      <c r="U6" s="1">
        <v>0.2689414214</v>
      </c>
    </row>
    <row r="7">
      <c r="A7" s="1">
        <v>7.627531214</v>
      </c>
      <c r="B7" s="1">
        <v>2.759262235</v>
      </c>
      <c r="C7" s="1">
        <v>1.0</v>
      </c>
      <c r="D7" s="9">
        <f t="shared" si="6"/>
        <v>-0.1875</v>
      </c>
      <c r="E7" s="9">
        <f t="shared" ref="E7:F7" si="10">E6+0.3*($C$2-$G$2)*$G$2*(1-$G$2)*A6</f>
        <v>-0.4535728939</v>
      </c>
      <c r="F7" s="9">
        <f t="shared" si="10"/>
        <v>-0.5313180712</v>
      </c>
      <c r="I7" s="1">
        <v>7.627531214</v>
      </c>
      <c r="J7" s="1">
        <v>2.759262235</v>
      </c>
      <c r="K7" s="1">
        <v>-0.4066</v>
      </c>
      <c r="L7" s="1">
        <v>0.85257</v>
      </c>
      <c r="M7" s="1">
        <v>-1.104746</v>
      </c>
      <c r="N7" s="9">
        <f t="shared" si="3"/>
        <v>0.9547013081</v>
      </c>
      <c r="O7" s="9">
        <f t="shared" si="4"/>
        <v>1</v>
      </c>
      <c r="P7" s="1">
        <v>0.0</v>
      </c>
      <c r="Q7" s="9">
        <f t="shared" si="5"/>
        <v>0.5</v>
      </c>
      <c r="T7" s="1">
        <v>0.0</v>
      </c>
      <c r="U7" s="1">
        <v>0.5</v>
      </c>
    </row>
    <row r="8">
      <c r="A8" s="1">
        <v>5.332441248</v>
      </c>
      <c r="B8" s="1">
        <v>2.088626775</v>
      </c>
      <c r="C8" s="1">
        <v>1.0</v>
      </c>
      <c r="D8" s="9">
        <f t="shared" si="6"/>
        <v>-0.225</v>
      </c>
      <c r="E8" s="9">
        <f t="shared" ref="E8:F8" si="11">E7+0.3*($C$2-$G$2)*$G$2*(1-$G$2)*A7</f>
        <v>-0.7396053144</v>
      </c>
      <c r="F8" s="9">
        <f t="shared" si="11"/>
        <v>-0.634790405</v>
      </c>
      <c r="I8" s="1">
        <v>5.332441248</v>
      </c>
      <c r="J8" s="1">
        <v>2.088626775</v>
      </c>
      <c r="K8" s="1">
        <v>-0.4066</v>
      </c>
      <c r="L8" s="1">
        <v>0.85257</v>
      </c>
      <c r="M8" s="1">
        <v>-1.104746</v>
      </c>
      <c r="N8" s="9">
        <f t="shared" si="3"/>
        <v>0.8620328017</v>
      </c>
      <c r="O8" s="9">
        <f t="shared" si="4"/>
        <v>1</v>
      </c>
      <c r="P8" s="1">
        <v>1.0</v>
      </c>
      <c r="Q8" s="9">
        <f t="shared" si="5"/>
        <v>0.7310585786</v>
      </c>
      <c r="T8" s="1">
        <v>1.0</v>
      </c>
      <c r="U8" s="1">
        <v>0.7310585786</v>
      </c>
    </row>
    <row r="9">
      <c r="A9" s="1">
        <v>6.922596716</v>
      </c>
      <c r="B9" s="1">
        <v>1.77106367</v>
      </c>
      <c r="C9" s="1">
        <v>1.0</v>
      </c>
      <c r="D9" s="9">
        <f t="shared" si="6"/>
        <v>-0.2625</v>
      </c>
      <c r="E9" s="9">
        <f t="shared" ref="E9:F9" si="12">E8+0.3*($C$2-$G$2)*$G$2*(1-$G$2)*A8</f>
        <v>-0.9395718612</v>
      </c>
      <c r="F9" s="9">
        <f t="shared" si="12"/>
        <v>-0.7131139091</v>
      </c>
      <c r="I9" s="1">
        <v>6.922596716</v>
      </c>
      <c r="J9" s="1">
        <v>1.77106367</v>
      </c>
      <c r="K9" s="1">
        <v>-0.4066</v>
      </c>
      <c r="L9" s="1">
        <v>0.85257</v>
      </c>
      <c r="M9" s="1">
        <v>-1.104746</v>
      </c>
      <c r="N9" s="9">
        <f t="shared" si="3"/>
        <v>0.9717724378</v>
      </c>
      <c r="O9" s="9">
        <f t="shared" si="4"/>
        <v>1</v>
      </c>
      <c r="P9" s="1">
        <v>2.0</v>
      </c>
      <c r="Q9" s="9">
        <f t="shared" si="5"/>
        <v>0.880797078</v>
      </c>
      <c r="T9" s="1">
        <v>2.0</v>
      </c>
      <c r="U9" s="1">
        <v>0.880797078</v>
      </c>
    </row>
    <row r="10">
      <c r="A10" s="1">
        <v>8.675418651</v>
      </c>
      <c r="B10" s="1">
        <v>-0.2420686549</v>
      </c>
      <c r="C10" s="1">
        <v>1.0</v>
      </c>
      <c r="D10" s="9">
        <f t="shared" si="6"/>
        <v>-0.3</v>
      </c>
      <c r="E10" s="9">
        <f t="shared" ref="E10:F10" si="13">E9+0.3*($C$2-$G$2)*$G$2*(1-$G$2)*A9</f>
        <v>-1.199169238</v>
      </c>
      <c r="F10" s="9">
        <f t="shared" si="13"/>
        <v>-0.7795287967</v>
      </c>
      <c r="I10" s="1">
        <v>8.675418651</v>
      </c>
      <c r="J10" s="1">
        <v>-0.2420686549</v>
      </c>
      <c r="K10" s="1">
        <v>-0.4066</v>
      </c>
      <c r="L10" s="1">
        <v>0.85257</v>
      </c>
      <c r="M10" s="1">
        <v>-1.104746</v>
      </c>
      <c r="N10" s="9">
        <f t="shared" si="3"/>
        <v>0.9992954356</v>
      </c>
      <c r="O10" s="9">
        <f t="shared" si="4"/>
        <v>1</v>
      </c>
      <c r="P10" s="1">
        <v>3.0</v>
      </c>
      <c r="Q10" s="9">
        <f t="shared" si="5"/>
        <v>0.9525741268</v>
      </c>
      <c r="T10" s="1">
        <v>3.0</v>
      </c>
      <c r="U10" s="1">
        <v>0.9525741268</v>
      </c>
    </row>
    <row r="11">
      <c r="A11" s="1">
        <v>7.673756466</v>
      </c>
      <c r="B11" s="1">
        <v>3.508563011</v>
      </c>
      <c r="C11" s="1">
        <v>1.0</v>
      </c>
      <c r="D11" s="9">
        <f t="shared" si="6"/>
        <v>-0.3375</v>
      </c>
      <c r="E11" s="9">
        <f t="shared" ref="E11:F11" si="14">E10+0.3*($C$2-$G$2)*$G$2*(1-$G$2)*A10</f>
        <v>-1.524497437</v>
      </c>
      <c r="F11" s="9">
        <f t="shared" si="14"/>
        <v>-0.7704512221</v>
      </c>
      <c r="I11" s="1">
        <v>7.673756466</v>
      </c>
      <c r="J11" s="1">
        <v>3.508563011</v>
      </c>
      <c r="K11" s="1">
        <v>-0.4066</v>
      </c>
      <c r="L11" s="1">
        <v>0.85257</v>
      </c>
      <c r="M11" s="1">
        <v>-1.104746</v>
      </c>
      <c r="N11" s="9">
        <f t="shared" si="3"/>
        <v>0.9054876905</v>
      </c>
      <c r="O11" s="9">
        <f t="shared" si="4"/>
        <v>1</v>
      </c>
      <c r="P11" s="1">
        <v>4.0</v>
      </c>
      <c r="Q11" s="9">
        <f t="shared" si="5"/>
        <v>0.98201379</v>
      </c>
      <c r="T11" s="1">
        <v>4.0</v>
      </c>
      <c r="U11" s="1">
        <v>0.98201379</v>
      </c>
    </row>
    <row r="12">
      <c r="P12" s="1">
        <v>5.0</v>
      </c>
      <c r="Q12" s="9">
        <f t="shared" si="5"/>
        <v>0.9933071491</v>
      </c>
      <c r="T12" s="1">
        <v>5.0</v>
      </c>
      <c r="U12" s="1">
        <v>0.9933071491</v>
      </c>
    </row>
    <row r="14">
      <c r="O14" s="1" t="s">
        <v>674</v>
      </c>
      <c r="P14" s="1" t="s">
        <v>675</v>
      </c>
    </row>
    <row r="15">
      <c r="A15" s="1" t="s">
        <v>676</v>
      </c>
      <c r="P15" s="1" t="s">
        <v>677</v>
      </c>
    </row>
    <row r="16">
      <c r="P16" s="1" t="s">
        <v>678</v>
      </c>
    </row>
    <row r="17">
      <c r="A17" s="1" t="s">
        <v>679</v>
      </c>
      <c r="P17" s="1" t="s">
        <v>680</v>
      </c>
    </row>
    <row r="19">
      <c r="A19" s="1" t="s">
        <v>681</v>
      </c>
      <c r="O19" s="1" t="s">
        <v>682</v>
      </c>
      <c r="P19" s="79" t="s">
        <v>675</v>
      </c>
    </row>
    <row r="20">
      <c r="P20" s="79" t="s">
        <v>683</v>
      </c>
    </row>
    <row r="21">
      <c r="A21" s="1" t="s">
        <v>684</v>
      </c>
      <c r="P21" s="79" t="s">
        <v>685</v>
      </c>
    </row>
    <row r="23">
      <c r="O23" s="1" t="s">
        <v>686</v>
      </c>
    </row>
    <row r="24">
      <c r="D24" s="1" t="s">
        <v>687</v>
      </c>
      <c r="E24" s="1" t="s">
        <v>687</v>
      </c>
    </row>
    <row r="25">
      <c r="D25" s="1" t="s">
        <v>688</v>
      </c>
      <c r="E25" s="1" t="s">
        <v>689</v>
      </c>
      <c r="F25" s="1" t="s">
        <v>670</v>
      </c>
    </row>
    <row r="26">
      <c r="D26" s="1" t="s">
        <v>690</v>
      </c>
      <c r="E26" s="1" t="s">
        <v>690</v>
      </c>
      <c r="F26" s="1" t="s">
        <v>690</v>
      </c>
      <c r="G26" s="1" t="s">
        <v>691</v>
      </c>
      <c r="H26" s="1">
        <v>3.0</v>
      </c>
      <c r="I26" s="1">
        <v>4.0</v>
      </c>
      <c r="J26" s="1">
        <v>1.0</v>
      </c>
    </row>
    <row r="27">
      <c r="D27" s="1" t="s">
        <v>690</v>
      </c>
      <c r="E27" s="1" t="s">
        <v>690</v>
      </c>
      <c r="F27" s="1" t="s">
        <v>690</v>
      </c>
      <c r="G27" s="1" t="s">
        <v>692</v>
      </c>
      <c r="H27" s="1">
        <v>2.0</v>
      </c>
      <c r="I27" s="1">
        <v>4.0</v>
      </c>
      <c r="J27" s="1">
        <v>1.0</v>
      </c>
    </row>
    <row r="28">
      <c r="D28" s="1" t="s">
        <v>690</v>
      </c>
      <c r="E28" s="1" t="s">
        <v>690</v>
      </c>
      <c r="F28" s="1" t="s">
        <v>690</v>
      </c>
      <c r="G28" s="1" t="s">
        <v>693</v>
      </c>
      <c r="H28" s="1">
        <v>1.0</v>
      </c>
      <c r="I28" s="1">
        <v>0.0</v>
      </c>
    </row>
    <row r="29">
      <c r="D29" s="1" t="s">
        <v>690</v>
      </c>
      <c r="E29" s="1" t="s">
        <v>694</v>
      </c>
      <c r="F29" s="1" t="s">
        <v>690</v>
      </c>
      <c r="G29" s="1" t="s">
        <v>695</v>
      </c>
      <c r="H29" s="1">
        <v>2.0</v>
      </c>
      <c r="I29" s="1">
        <v>0.0</v>
      </c>
    </row>
    <row r="30">
      <c r="A30" s="1" t="s">
        <v>696</v>
      </c>
      <c r="B30" s="1" t="s">
        <v>697</v>
      </c>
      <c r="D30" s="1" t="s">
        <v>698</v>
      </c>
      <c r="E30" s="1" t="s">
        <v>694</v>
      </c>
      <c r="F30" s="1" t="s">
        <v>698</v>
      </c>
    </row>
    <row r="31">
      <c r="A31" s="1" t="s">
        <v>695</v>
      </c>
      <c r="B31" s="1" t="s">
        <v>699</v>
      </c>
      <c r="D31" s="1" t="s">
        <v>698</v>
      </c>
      <c r="E31" s="1" t="s">
        <v>690</v>
      </c>
      <c r="F31" s="1" t="s">
        <v>698</v>
      </c>
    </row>
    <row r="32">
      <c r="A32" s="1" t="s">
        <v>700</v>
      </c>
      <c r="D32" s="1" t="s">
        <v>698</v>
      </c>
      <c r="E32" s="1" t="s">
        <v>694</v>
      </c>
      <c r="F32" s="1" t="s">
        <v>698</v>
      </c>
    </row>
    <row r="33">
      <c r="D33" s="1" t="s">
        <v>698</v>
      </c>
      <c r="E33" s="1" t="s">
        <v>690</v>
      </c>
      <c r="F33" s="1" t="s">
        <v>698</v>
      </c>
    </row>
    <row r="35">
      <c r="F35" s="9">
        <f>3*100/8</f>
        <v>37.5</v>
      </c>
      <c r="H35" s="9">
        <f>5*100/8</f>
        <v>62.5</v>
      </c>
    </row>
    <row r="36">
      <c r="F36" s="9">
        <f>100-F35</f>
        <v>62.5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</cols>
  <sheetData>
    <row r="2">
      <c r="C2" s="1" t="s">
        <v>701</v>
      </c>
    </row>
    <row r="4">
      <c r="B4" s="8"/>
      <c r="C4" s="3" t="s">
        <v>702</v>
      </c>
      <c r="D4" s="3" t="s">
        <v>703</v>
      </c>
      <c r="E4" s="1" t="s">
        <v>704</v>
      </c>
    </row>
    <row r="5">
      <c r="B5" s="3" t="s">
        <v>705</v>
      </c>
      <c r="C5" s="3" t="s">
        <v>706</v>
      </c>
      <c r="D5" s="3" t="s">
        <v>707</v>
      </c>
      <c r="E5" s="1">
        <v>200.0</v>
      </c>
    </row>
    <row r="6">
      <c r="B6" s="3" t="s">
        <v>708</v>
      </c>
      <c r="C6" s="3" t="s">
        <v>709</v>
      </c>
      <c r="D6" s="3" t="s">
        <v>710</v>
      </c>
      <c r="E6" s="1">
        <v>288.0</v>
      </c>
    </row>
    <row r="7">
      <c r="B7" s="3" t="s">
        <v>711</v>
      </c>
      <c r="C7" s="3" t="s">
        <v>712</v>
      </c>
      <c r="D7" s="3" t="s">
        <v>713</v>
      </c>
      <c r="E7" s="1">
        <v>386.0</v>
      </c>
    </row>
    <row r="8">
      <c r="B8" s="3" t="s">
        <v>714</v>
      </c>
      <c r="C8" s="3" t="s">
        <v>715</v>
      </c>
      <c r="D8" s="3" t="s">
        <v>716</v>
      </c>
      <c r="E8" s="1">
        <v>449.0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8" max="9" width="16.13"/>
  </cols>
  <sheetData>
    <row r="1">
      <c r="F1" s="1" t="s">
        <v>717</v>
      </c>
    </row>
    <row r="2">
      <c r="F2" s="1" t="s">
        <v>718</v>
      </c>
      <c r="G2" s="1" t="s">
        <v>719</v>
      </c>
      <c r="H2" s="1" t="s">
        <v>26</v>
      </c>
      <c r="I2" s="1" t="s">
        <v>720</v>
      </c>
      <c r="J2" s="1" t="s">
        <v>721</v>
      </c>
      <c r="K2" s="1" t="s">
        <v>722</v>
      </c>
      <c r="L2" s="1" t="s">
        <v>723</v>
      </c>
    </row>
    <row r="3">
      <c r="F3" s="1">
        <v>0.1</v>
      </c>
      <c r="G3" s="1">
        <v>10000.0</v>
      </c>
      <c r="I3" s="9">
        <f t="shared" ref="I3:I8" si="1">(F3-$F$12)/($F$13-$F$12)</f>
        <v>0</v>
      </c>
      <c r="J3" s="9">
        <f t="shared" ref="J3:J8" si="2">I3*($F$16-$F$15) + $F$15</f>
        <v>0</v>
      </c>
      <c r="K3" s="9">
        <f t="shared" ref="K3:K8" si="3">(G3-$G$12)/($G$13-$G$12)</f>
        <v>0</v>
      </c>
      <c r="L3" s="9">
        <f t="shared" ref="L3:L8" si="4">K3*($F$16-$F$15) + $F$15</f>
        <v>0</v>
      </c>
    </row>
    <row r="4">
      <c r="F4" s="1">
        <v>0.2</v>
      </c>
      <c r="G4" s="1">
        <v>30000.0</v>
      </c>
      <c r="I4" s="9">
        <f t="shared" si="1"/>
        <v>0.3125</v>
      </c>
      <c r="J4" s="9">
        <f t="shared" si="2"/>
        <v>0.3125</v>
      </c>
      <c r="K4" s="9">
        <f t="shared" si="3"/>
        <v>0.3636363636</v>
      </c>
      <c r="L4" s="9">
        <f t="shared" si="4"/>
        <v>0.3636363636</v>
      </c>
    </row>
    <row r="5">
      <c r="F5" s="1">
        <v>0.19</v>
      </c>
      <c r="G5" s="1">
        <v>35000.0</v>
      </c>
      <c r="I5" s="9">
        <f t="shared" si="1"/>
        <v>0.28125</v>
      </c>
      <c r="J5" s="9">
        <f t="shared" si="2"/>
        <v>0.28125</v>
      </c>
      <c r="K5" s="9">
        <f t="shared" si="3"/>
        <v>0.4545454545</v>
      </c>
      <c r="L5" s="9">
        <f t="shared" si="4"/>
        <v>0.4545454545</v>
      </c>
    </row>
    <row r="6">
      <c r="F6" s="1">
        <v>0.4</v>
      </c>
      <c r="G6" s="1">
        <v>12000.0</v>
      </c>
      <c r="I6" s="9">
        <f t="shared" si="1"/>
        <v>0.9375</v>
      </c>
      <c r="J6" s="9">
        <f t="shared" si="2"/>
        <v>0.9375</v>
      </c>
      <c r="K6" s="9">
        <f t="shared" si="3"/>
        <v>0.03636363636</v>
      </c>
      <c r="L6" s="9">
        <f t="shared" si="4"/>
        <v>0.03636363636</v>
      </c>
    </row>
    <row r="7">
      <c r="F7" s="1">
        <v>0.42</v>
      </c>
      <c r="G7" s="1">
        <v>65000.0</v>
      </c>
      <c r="I7" s="9">
        <f t="shared" si="1"/>
        <v>1</v>
      </c>
      <c r="J7" s="9">
        <f t="shared" si="2"/>
        <v>1</v>
      </c>
      <c r="K7" s="9">
        <f t="shared" si="3"/>
        <v>1</v>
      </c>
      <c r="L7" s="9">
        <f t="shared" si="4"/>
        <v>1</v>
      </c>
    </row>
    <row r="8">
      <c r="F8" s="1">
        <v>0.12</v>
      </c>
      <c r="G8" s="1">
        <v>24000.0</v>
      </c>
      <c r="I8" s="9">
        <f t="shared" si="1"/>
        <v>0.0625</v>
      </c>
      <c r="J8" s="9">
        <f t="shared" si="2"/>
        <v>0.0625</v>
      </c>
      <c r="K8" s="9">
        <f t="shared" si="3"/>
        <v>0.2545454545</v>
      </c>
      <c r="L8" s="9">
        <f t="shared" si="4"/>
        <v>0.2545454545</v>
      </c>
    </row>
    <row r="10">
      <c r="A10" s="1">
        <v>1.0</v>
      </c>
      <c r="B10" s="1" t="s">
        <v>724</v>
      </c>
    </row>
    <row r="11">
      <c r="A11" s="1">
        <v>2.0</v>
      </c>
      <c r="B11" s="1" t="s">
        <v>725</v>
      </c>
    </row>
    <row r="12">
      <c r="E12" s="1" t="s">
        <v>726</v>
      </c>
      <c r="F12" s="9">
        <f t="shared" ref="F12:G12" si="5">min(F3:F8)</f>
        <v>0.1</v>
      </c>
      <c r="G12" s="9">
        <f t="shared" si="5"/>
        <v>10000</v>
      </c>
    </row>
    <row r="13">
      <c r="E13" s="1" t="s">
        <v>727</v>
      </c>
      <c r="F13" s="9">
        <f t="shared" ref="F13:G13" si="6">max(F3:F8)</f>
        <v>0.42</v>
      </c>
      <c r="G13" s="9">
        <f t="shared" si="6"/>
        <v>65000</v>
      </c>
    </row>
    <row r="15">
      <c r="E15" s="1" t="s">
        <v>728</v>
      </c>
      <c r="F15" s="1">
        <v>0.0</v>
      </c>
    </row>
    <row r="16">
      <c r="B16" s="1" t="s">
        <v>724</v>
      </c>
      <c r="E16" s="1" t="s">
        <v>729</v>
      </c>
      <c r="F16" s="1">
        <v>1.0</v>
      </c>
    </row>
    <row r="18">
      <c r="B18" s="1" t="s">
        <v>730</v>
      </c>
    </row>
    <row r="19">
      <c r="B19" s="1" t="s">
        <v>731</v>
      </c>
    </row>
    <row r="22">
      <c r="B22" s="1" t="s">
        <v>725</v>
      </c>
    </row>
    <row r="23">
      <c r="F23" s="1" t="s">
        <v>718</v>
      </c>
      <c r="G23" s="1" t="s">
        <v>719</v>
      </c>
      <c r="H23" s="1" t="s">
        <v>732</v>
      </c>
      <c r="I23" s="1" t="s">
        <v>733</v>
      </c>
    </row>
    <row r="24">
      <c r="B24" s="1" t="s">
        <v>734</v>
      </c>
      <c r="F24" s="1">
        <v>0.1</v>
      </c>
      <c r="G24" s="1">
        <v>10000.0</v>
      </c>
      <c r="H24" s="9">
        <f t="shared" ref="H24:H29" si="7">(F24-$F$31)/$F$32</f>
        <v>-0.9979018173</v>
      </c>
      <c r="I24" s="9">
        <f t="shared" ref="I24:I29" si="8">(G24-$G$31)/$G$32</f>
        <v>-0.9648993032</v>
      </c>
    </row>
    <row r="25">
      <c r="F25" s="1">
        <v>0.2</v>
      </c>
      <c r="G25" s="1">
        <v>30000.0</v>
      </c>
      <c r="H25" s="9">
        <f t="shared" si="7"/>
        <v>-0.2765270096</v>
      </c>
      <c r="I25" s="9">
        <f t="shared" si="8"/>
        <v>0.03327238977</v>
      </c>
    </row>
    <row r="26">
      <c r="B26" s="1" t="s">
        <v>735</v>
      </c>
      <c r="F26" s="1">
        <v>0.19</v>
      </c>
      <c r="G26" s="1">
        <v>35000.0</v>
      </c>
      <c r="H26" s="9">
        <f t="shared" si="7"/>
        <v>-0.3486644904</v>
      </c>
      <c r="I26" s="9">
        <f t="shared" si="8"/>
        <v>0.282815313</v>
      </c>
    </row>
    <row r="27">
      <c r="F27" s="1">
        <v>0.4</v>
      </c>
      <c r="G27" s="1">
        <v>12000.0</v>
      </c>
      <c r="H27" s="9">
        <f t="shared" si="7"/>
        <v>1.166222606</v>
      </c>
      <c r="I27" s="9">
        <f t="shared" si="8"/>
        <v>-0.8650821339</v>
      </c>
    </row>
    <row r="28">
      <c r="F28" s="1">
        <v>0.42</v>
      </c>
      <c r="G28" s="1">
        <v>65000.0</v>
      </c>
      <c r="H28" s="9">
        <f t="shared" si="7"/>
        <v>1.310497567</v>
      </c>
      <c r="I28" s="9">
        <f t="shared" si="8"/>
        <v>1.780072852</v>
      </c>
    </row>
    <row r="29">
      <c r="F29" s="1">
        <v>0.12</v>
      </c>
      <c r="G29" s="1">
        <v>24000.0</v>
      </c>
      <c r="H29" s="9">
        <f t="shared" si="7"/>
        <v>-0.8536268558</v>
      </c>
      <c r="I29" s="9">
        <f t="shared" si="8"/>
        <v>-0.2661791181</v>
      </c>
    </row>
    <row r="31">
      <c r="E31" s="1" t="s">
        <v>736</v>
      </c>
      <c r="F31" s="9">
        <f t="shared" ref="F31:I31" si="9">AVERAGE(F24:F29)</f>
        <v>0.2383333333</v>
      </c>
      <c r="G31" s="9">
        <f t="shared" si="9"/>
        <v>29333.33333</v>
      </c>
      <c r="H31" s="9">
        <f t="shared" si="9"/>
        <v>0</v>
      </c>
      <c r="I31" s="9">
        <f t="shared" si="9"/>
        <v>0</v>
      </c>
    </row>
    <row r="32">
      <c r="E32" s="1" t="s">
        <v>737</v>
      </c>
      <c r="F32" s="9">
        <f t="shared" ref="F32:I32" si="10">STDEV(F24:F29)</f>
        <v>0.1386241922</v>
      </c>
      <c r="G32" s="9">
        <f t="shared" si="10"/>
        <v>20036.63312</v>
      </c>
      <c r="H32" s="9">
        <f t="shared" si="10"/>
        <v>1</v>
      </c>
      <c r="I32" s="9">
        <f t="shared" si="10"/>
        <v>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75"/>
    <col customWidth="1" min="3" max="3" width="62.38"/>
  </cols>
  <sheetData>
    <row r="1">
      <c r="C1" s="1" t="s">
        <v>738</v>
      </c>
    </row>
    <row r="2">
      <c r="A2" s="1" t="s">
        <v>739</v>
      </c>
      <c r="B2" s="1" t="s">
        <v>740</v>
      </c>
      <c r="C2" s="80" t="s">
        <v>741</v>
      </c>
    </row>
    <row r="3">
      <c r="A3" s="1" t="s">
        <v>742</v>
      </c>
      <c r="B3" s="1" t="s">
        <v>743</v>
      </c>
    </row>
    <row r="4">
      <c r="A4" s="1" t="s">
        <v>744</v>
      </c>
      <c r="B4" s="1" t="s">
        <v>745</v>
      </c>
    </row>
    <row r="5">
      <c r="B5" s="81" t="s">
        <v>746</v>
      </c>
    </row>
    <row r="6">
      <c r="A6" s="1" t="s">
        <v>747</v>
      </c>
      <c r="B6" s="82" t="s">
        <v>748</v>
      </c>
    </row>
    <row r="7">
      <c r="A7" s="1" t="s">
        <v>749</v>
      </c>
      <c r="B7" s="1" t="s">
        <v>750</v>
      </c>
      <c r="C7" s="80" t="s">
        <v>751</v>
      </c>
    </row>
  </sheetData>
  <hyperlinks>
    <hyperlink r:id="rId1" ref="C2"/>
    <hyperlink r:id="rId2" ref="B6"/>
    <hyperlink r:id="rId3" ref="C7"/>
  </hyperlinks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752</v>
      </c>
      <c r="B1" s="1" t="s">
        <v>753</v>
      </c>
      <c r="C1" s="1" t="s">
        <v>754</v>
      </c>
      <c r="D1" s="1" t="s">
        <v>755</v>
      </c>
      <c r="F1" s="1" t="s">
        <v>756</v>
      </c>
      <c r="G1" s="1" t="s">
        <v>754</v>
      </c>
      <c r="H1" s="1" t="s">
        <v>755</v>
      </c>
    </row>
    <row r="2">
      <c r="A2" s="1">
        <v>1.0</v>
      </c>
      <c r="B2" s="1">
        <v>55.0</v>
      </c>
      <c r="C2" s="9">
        <f t="shared" ref="C2:C21" si="1">B2-B$23</f>
        <v>-16.15</v>
      </c>
      <c r="D2" s="9">
        <f t="shared" ref="D2:D21" si="2">C2*C2</f>
        <v>260.8225</v>
      </c>
      <c r="F2" s="1">
        <v>58.0</v>
      </c>
      <c r="G2" s="9">
        <f t="shared" ref="G2:G6" si="3">F2-F$8</f>
        <v>4.6</v>
      </c>
      <c r="H2" s="9">
        <f t="shared" ref="H2:H6" si="4">G2*G2</f>
        <v>21.16</v>
      </c>
    </row>
    <row r="3">
      <c r="A3" s="1">
        <v>2.0</v>
      </c>
      <c r="B3" s="1">
        <v>110.0</v>
      </c>
      <c r="C3" s="9">
        <f t="shared" si="1"/>
        <v>38.85</v>
      </c>
      <c r="D3" s="9">
        <f t="shared" si="2"/>
        <v>1509.3225</v>
      </c>
      <c r="F3" s="1">
        <v>43.0</v>
      </c>
      <c r="G3" s="9">
        <f t="shared" si="3"/>
        <v>-10.4</v>
      </c>
      <c r="H3" s="9">
        <f t="shared" si="4"/>
        <v>108.16</v>
      </c>
    </row>
    <row r="4">
      <c r="A4" s="1">
        <v>3.0</v>
      </c>
      <c r="B4" s="1">
        <v>53.0</v>
      </c>
      <c r="C4" s="9">
        <f t="shared" si="1"/>
        <v>-18.15</v>
      </c>
      <c r="D4" s="9">
        <f t="shared" si="2"/>
        <v>329.4225</v>
      </c>
      <c r="F4" s="1">
        <v>25.0</v>
      </c>
      <c r="G4" s="9">
        <f t="shared" si="3"/>
        <v>-28.4</v>
      </c>
      <c r="H4" s="9">
        <f t="shared" si="4"/>
        <v>806.56</v>
      </c>
    </row>
    <row r="5">
      <c r="A5" s="1">
        <v>4.0</v>
      </c>
      <c r="B5" s="1">
        <v>21.0</v>
      </c>
      <c r="C5" s="9">
        <f t="shared" si="1"/>
        <v>-50.15</v>
      </c>
      <c r="D5" s="9">
        <f t="shared" si="2"/>
        <v>2515.0225</v>
      </c>
      <c r="F5" s="1">
        <v>88.0</v>
      </c>
      <c r="G5" s="9">
        <f t="shared" si="3"/>
        <v>34.6</v>
      </c>
      <c r="H5" s="9">
        <f t="shared" si="4"/>
        <v>1197.16</v>
      </c>
    </row>
    <row r="6">
      <c r="A6" s="1">
        <v>5.0</v>
      </c>
      <c r="B6" s="1">
        <v>75.0</v>
      </c>
      <c r="C6" s="9">
        <f t="shared" si="1"/>
        <v>3.85</v>
      </c>
      <c r="D6" s="9">
        <f t="shared" si="2"/>
        <v>14.8225</v>
      </c>
      <c r="F6" s="1">
        <v>53.0</v>
      </c>
      <c r="G6" s="9">
        <f t="shared" si="3"/>
        <v>-0.4</v>
      </c>
      <c r="H6" s="9">
        <f t="shared" si="4"/>
        <v>0.16</v>
      </c>
    </row>
    <row r="7">
      <c r="A7" s="1">
        <v>6.0</v>
      </c>
      <c r="B7" s="1">
        <v>58.0</v>
      </c>
      <c r="C7" s="9">
        <f t="shared" si="1"/>
        <v>-13.15</v>
      </c>
      <c r="D7" s="9">
        <f t="shared" si="2"/>
        <v>172.9225</v>
      </c>
    </row>
    <row r="8">
      <c r="A8" s="1">
        <v>7.0</v>
      </c>
      <c r="B8" s="1">
        <v>69.0</v>
      </c>
      <c r="C8" s="9">
        <f t="shared" si="1"/>
        <v>-2.15</v>
      </c>
      <c r="D8" s="9">
        <f t="shared" si="2"/>
        <v>4.6225</v>
      </c>
      <c r="E8" s="1" t="s">
        <v>736</v>
      </c>
      <c r="F8" s="9">
        <f>SUM(F2:F6)/5</f>
        <v>53.4</v>
      </c>
      <c r="H8" s="9">
        <f>SUM(H2:H6)</f>
        <v>2133.2</v>
      </c>
    </row>
    <row r="9">
      <c r="A9" s="1">
        <v>8.0</v>
      </c>
      <c r="B9" s="1">
        <v>85.0</v>
      </c>
      <c r="C9" s="9">
        <f t="shared" si="1"/>
        <v>13.85</v>
      </c>
      <c r="D9" s="9">
        <f t="shared" si="2"/>
        <v>191.8225</v>
      </c>
    </row>
    <row r="10">
      <c r="A10" s="1">
        <v>9.0</v>
      </c>
      <c r="B10" s="1">
        <v>25.0</v>
      </c>
      <c r="C10" s="9">
        <f t="shared" si="1"/>
        <v>-46.15</v>
      </c>
      <c r="D10" s="9">
        <f t="shared" si="2"/>
        <v>2129.8225</v>
      </c>
      <c r="G10" s="1" t="s">
        <v>757</v>
      </c>
      <c r="H10" s="9">
        <f>SQRT(H8/5)</f>
        <v>20.65526567</v>
      </c>
    </row>
    <row r="11">
      <c r="A11" s="1">
        <v>10.0</v>
      </c>
      <c r="B11" s="1">
        <v>67.0</v>
      </c>
      <c r="C11" s="9">
        <f t="shared" si="1"/>
        <v>-4.15</v>
      </c>
      <c r="D11" s="9">
        <f t="shared" si="2"/>
        <v>17.2225</v>
      </c>
    </row>
    <row r="12">
      <c r="A12" s="1">
        <v>11.0</v>
      </c>
      <c r="B12" s="1">
        <v>59.0</v>
      </c>
      <c r="C12" s="9">
        <f t="shared" si="1"/>
        <v>-12.15</v>
      </c>
      <c r="D12" s="9">
        <f t="shared" si="2"/>
        <v>147.6225</v>
      </c>
    </row>
    <row r="13">
      <c r="A13" s="1">
        <v>12.0</v>
      </c>
      <c r="B13" s="1">
        <v>43.0</v>
      </c>
      <c r="C13" s="9">
        <f t="shared" si="1"/>
        <v>-28.15</v>
      </c>
      <c r="D13" s="9">
        <f t="shared" si="2"/>
        <v>792.4225</v>
      </c>
      <c r="G13" s="1" t="s">
        <v>758</v>
      </c>
      <c r="H13" s="9">
        <f>SQRT(H8/4)</f>
        <v>23.09328907</v>
      </c>
    </row>
    <row r="14">
      <c r="A14" s="1">
        <v>13.0</v>
      </c>
      <c r="B14" s="1">
        <v>72.0</v>
      </c>
      <c r="C14" s="9">
        <f t="shared" si="1"/>
        <v>0.85</v>
      </c>
      <c r="D14" s="9">
        <f t="shared" si="2"/>
        <v>0.7225</v>
      </c>
      <c r="H14" s="1" t="s">
        <v>759</v>
      </c>
    </row>
    <row r="15">
      <c r="A15" s="1">
        <v>14.0</v>
      </c>
      <c r="B15" s="1">
        <v>45.0</v>
      </c>
      <c r="C15" s="9">
        <f t="shared" si="1"/>
        <v>-26.15</v>
      </c>
      <c r="D15" s="9">
        <f t="shared" si="2"/>
        <v>683.8225</v>
      </c>
    </row>
    <row r="16">
      <c r="A16" s="1">
        <v>15.0</v>
      </c>
      <c r="B16" s="1">
        <v>169.0</v>
      </c>
      <c r="C16" s="9">
        <f t="shared" si="1"/>
        <v>97.85</v>
      </c>
      <c r="D16" s="9">
        <f t="shared" si="2"/>
        <v>9574.6225</v>
      </c>
    </row>
    <row r="17">
      <c r="A17" s="1">
        <v>16.0</v>
      </c>
      <c r="B17" s="1">
        <v>102.0</v>
      </c>
      <c r="C17" s="9">
        <f t="shared" si="1"/>
        <v>30.85</v>
      </c>
      <c r="D17" s="9">
        <f t="shared" si="2"/>
        <v>951.7225</v>
      </c>
    </row>
    <row r="18">
      <c r="A18" s="1">
        <v>17.0</v>
      </c>
      <c r="B18" s="1">
        <v>76.0</v>
      </c>
      <c r="C18" s="9">
        <f t="shared" si="1"/>
        <v>4.85</v>
      </c>
      <c r="D18" s="9">
        <f t="shared" si="2"/>
        <v>23.5225</v>
      </c>
    </row>
    <row r="19">
      <c r="A19" s="1">
        <v>18.0</v>
      </c>
      <c r="B19" s="1">
        <v>84.0</v>
      </c>
      <c r="C19" s="9">
        <f t="shared" si="1"/>
        <v>12.85</v>
      </c>
      <c r="D19" s="9">
        <f t="shared" si="2"/>
        <v>165.1225</v>
      </c>
    </row>
    <row r="20">
      <c r="A20" s="1">
        <v>19.0</v>
      </c>
      <c r="B20" s="1">
        <v>67.0</v>
      </c>
      <c r="C20" s="9">
        <f t="shared" si="1"/>
        <v>-4.15</v>
      </c>
      <c r="D20" s="9">
        <f t="shared" si="2"/>
        <v>17.2225</v>
      </c>
    </row>
    <row r="21">
      <c r="A21" s="1">
        <v>20.0</v>
      </c>
      <c r="B21" s="1">
        <v>88.0</v>
      </c>
      <c r="C21" s="9">
        <f t="shared" si="1"/>
        <v>16.85</v>
      </c>
      <c r="D21" s="9">
        <f t="shared" si="2"/>
        <v>283.9225</v>
      </c>
    </row>
    <row r="23">
      <c r="A23" s="1" t="s">
        <v>736</v>
      </c>
      <c r="B23" s="9">
        <f>SUM(B2:B21)/20</f>
        <v>71.15</v>
      </c>
      <c r="D23" s="9">
        <f>SUM(D2:D21)</f>
        <v>19786.55</v>
      </c>
    </row>
    <row r="25">
      <c r="C25" s="1" t="s">
        <v>760</v>
      </c>
      <c r="D25" s="9">
        <f>sqrt(D23/20)</f>
        <v>31.4535769</v>
      </c>
    </row>
  </sheetData>
  <drawing r:id="rId1"/>
</worksheet>
</file>